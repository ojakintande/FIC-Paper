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PHD_Work/"/>
    </mc:Choice>
  </mc:AlternateContent>
  <xr:revisionPtr revIDLastSave="62" documentId="8_{410C26F7-81F5-47C7-B655-180FEE30EE79}" xr6:coauthVersionLast="47" xr6:coauthVersionMax="47" xr10:uidLastSave="{253054C2-6EBE-477E-9D7D-6FEA4C34BBDB}"/>
  <bookViews>
    <workbookView xWindow="-98" yWindow="-98" windowWidth="19396" windowHeight="10395" firstSheet="3" activeTab="7" xr2:uid="{C4FA4D4D-2DEC-4BD1-AD69-E5EE2B989448}"/>
  </bookViews>
  <sheets>
    <sheet name="Compas_Selection_rate" sheetId="1" r:id="rId1"/>
    <sheet name="Compas_TPR" sheetId="2" r:id="rId2"/>
    <sheet name="Compas_TNR" sheetId="6" r:id="rId3"/>
    <sheet name="Compas_FPR" sheetId="3" r:id="rId4"/>
    <sheet name="Compass_PPV" sheetId="4" r:id="rId5"/>
    <sheet name="Compa_FNR" sheetId="5" r:id="rId6"/>
    <sheet name="Compass_NPV" sheetId="7" r:id="rId7"/>
    <sheet name="Compas_F1" sheetId="8" r:id="rId8"/>
    <sheet name="Compas_AUC" sheetId="9" r:id="rId9"/>
    <sheet name="Compas_Accuracy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6" l="1"/>
  <c r="E3" i="6"/>
  <c r="E28" i="10"/>
  <c r="E27" i="10"/>
  <c r="E26" i="10"/>
  <c r="E25" i="10"/>
  <c r="E24" i="10"/>
  <c r="E23" i="10"/>
  <c r="E21" i="10"/>
  <c r="E20" i="10"/>
  <c r="E19" i="10"/>
  <c r="E18" i="10"/>
  <c r="E17" i="10"/>
  <c r="E16" i="10"/>
  <c r="E14" i="10"/>
  <c r="E13" i="10"/>
  <c r="E12" i="10"/>
  <c r="E11" i="10"/>
  <c r="E10" i="10"/>
  <c r="E9" i="10"/>
  <c r="E7" i="10"/>
  <c r="E6" i="10"/>
  <c r="E5" i="10"/>
  <c r="E4" i="10"/>
  <c r="E3" i="10"/>
  <c r="E2" i="10"/>
  <c r="E28" i="9"/>
  <c r="E27" i="9"/>
  <c r="E26" i="9"/>
  <c r="E25" i="9"/>
  <c r="E24" i="9"/>
  <c r="E23" i="9"/>
  <c r="E21" i="9"/>
  <c r="E20" i="9"/>
  <c r="E19" i="9"/>
  <c r="E18" i="9"/>
  <c r="E17" i="9"/>
  <c r="E16" i="9"/>
  <c r="E14" i="9"/>
  <c r="E13" i="9"/>
  <c r="E12" i="9"/>
  <c r="E11" i="9"/>
  <c r="E10" i="9"/>
  <c r="E9" i="9"/>
  <c r="E7" i="9"/>
  <c r="E6" i="9"/>
  <c r="E5" i="9"/>
  <c r="E4" i="9"/>
  <c r="E3" i="9"/>
  <c r="E2" i="9"/>
  <c r="F28" i="8"/>
  <c r="F27" i="8"/>
  <c r="F26" i="8"/>
  <c r="F25" i="8"/>
  <c r="F24" i="8"/>
  <c r="F23" i="8"/>
  <c r="F21" i="8"/>
  <c r="F20" i="8"/>
  <c r="F19" i="8"/>
  <c r="F18" i="8"/>
  <c r="F17" i="8"/>
  <c r="F16" i="8"/>
  <c r="F14" i="8"/>
  <c r="F13" i="8"/>
  <c r="F12" i="8"/>
  <c r="F11" i="8"/>
  <c r="F10" i="8"/>
  <c r="F9" i="8"/>
  <c r="F7" i="8"/>
  <c r="F6" i="8"/>
  <c r="F5" i="8"/>
  <c r="F4" i="8"/>
  <c r="F3" i="8"/>
  <c r="F2" i="8"/>
  <c r="E28" i="7"/>
  <c r="E27" i="7"/>
  <c r="E26" i="7"/>
  <c r="E25" i="7"/>
  <c r="E24" i="7"/>
  <c r="E23" i="7"/>
  <c r="E21" i="7"/>
  <c r="E20" i="7"/>
  <c r="E19" i="7"/>
  <c r="E18" i="7"/>
  <c r="E17" i="7"/>
  <c r="E16" i="7"/>
  <c r="E14" i="7"/>
  <c r="E13" i="7"/>
  <c r="E12" i="7"/>
  <c r="E11" i="7"/>
  <c r="E10" i="7"/>
  <c r="E9" i="7"/>
  <c r="E7" i="7"/>
  <c r="E6" i="7"/>
  <c r="E5" i="7"/>
  <c r="E4" i="7"/>
  <c r="E3" i="7"/>
  <c r="E2" i="7"/>
  <c r="E28" i="6"/>
  <c r="E27" i="6"/>
  <c r="E26" i="6"/>
  <c r="E25" i="6"/>
  <c r="E24" i="6"/>
  <c r="E23" i="6"/>
  <c r="E21" i="6"/>
  <c r="E20" i="6"/>
  <c r="E19" i="6"/>
  <c r="E18" i="6"/>
  <c r="E17" i="6"/>
  <c r="E16" i="6"/>
  <c r="E14" i="6"/>
  <c r="E13" i="6"/>
  <c r="E12" i="6"/>
  <c r="E11" i="6"/>
  <c r="E10" i="6"/>
  <c r="E9" i="6"/>
  <c r="E7" i="6"/>
  <c r="E6" i="6"/>
  <c r="E5" i="6"/>
  <c r="E4" i="6"/>
  <c r="E28" i="5"/>
  <c r="E27" i="5"/>
  <c r="E26" i="5"/>
  <c r="E25" i="5"/>
  <c r="E24" i="5"/>
  <c r="E23" i="5"/>
  <c r="E21" i="5"/>
  <c r="E20" i="5"/>
  <c r="E19" i="5"/>
  <c r="E18" i="5"/>
  <c r="E17" i="5"/>
  <c r="E16" i="5"/>
  <c r="E14" i="5"/>
  <c r="E13" i="5"/>
  <c r="E12" i="5"/>
  <c r="E11" i="5"/>
  <c r="E10" i="5"/>
  <c r="E9" i="5"/>
  <c r="E7" i="5"/>
  <c r="E6" i="5"/>
  <c r="E5" i="5"/>
  <c r="E4" i="5"/>
  <c r="E3" i="5"/>
  <c r="E2" i="5"/>
  <c r="E28" i="4"/>
  <c r="E27" i="4"/>
  <c r="E26" i="4"/>
  <c r="E25" i="4"/>
  <c r="E24" i="4"/>
  <c r="E23" i="4"/>
  <c r="E21" i="4"/>
  <c r="E20" i="4"/>
  <c r="E19" i="4"/>
  <c r="E18" i="4"/>
  <c r="E17" i="4"/>
  <c r="E16" i="4"/>
  <c r="E14" i="4"/>
  <c r="E13" i="4"/>
  <c r="E12" i="4"/>
  <c r="E11" i="4"/>
  <c r="E10" i="4"/>
  <c r="E9" i="4"/>
  <c r="E7" i="4"/>
  <c r="E6" i="4"/>
  <c r="E5" i="4"/>
  <c r="E4" i="4"/>
  <c r="E3" i="4"/>
  <c r="E2" i="4"/>
  <c r="E28" i="3"/>
  <c r="E27" i="3"/>
  <c r="E26" i="3"/>
  <c r="E25" i="3"/>
  <c r="E24" i="3"/>
  <c r="E23" i="3"/>
  <c r="E21" i="3"/>
  <c r="E20" i="3"/>
  <c r="E19" i="3"/>
  <c r="E18" i="3"/>
  <c r="E17" i="3"/>
  <c r="E16" i="3"/>
  <c r="E14" i="3"/>
  <c r="E13" i="3"/>
  <c r="E12" i="3"/>
  <c r="E11" i="3"/>
  <c r="E10" i="3"/>
  <c r="E9" i="3"/>
  <c r="E7" i="3"/>
  <c r="E6" i="3"/>
  <c r="E5" i="3"/>
  <c r="E4" i="3"/>
  <c r="E3" i="3"/>
  <c r="E2" i="3"/>
  <c r="E28" i="2"/>
  <c r="E27" i="2"/>
  <c r="E26" i="2"/>
  <c r="E25" i="2"/>
  <c r="E24" i="2"/>
  <c r="E23" i="2"/>
  <c r="E21" i="2"/>
  <c r="E20" i="2"/>
  <c r="E19" i="2"/>
  <c r="E18" i="2"/>
  <c r="E17" i="2"/>
  <c r="E16" i="2"/>
  <c r="E14" i="2"/>
  <c r="E13" i="2"/>
  <c r="E12" i="2"/>
  <c r="E11" i="2"/>
  <c r="E10" i="2"/>
  <c r="E9" i="2"/>
  <c r="E7" i="2"/>
  <c r="E6" i="2"/>
  <c r="E5" i="2"/>
  <c r="E4" i="2"/>
  <c r="E3" i="2"/>
  <c r="E2" i="2"/>
  <c r="E24" i="1"/>
  <c r="E25" i="1"/>
  <c r="E26" i="1"/>
  <c r="E27" i="1"/>
  <c r="E28" i="1"/>
  <c r="E23" i="1"/>
  <c r="E17" i="1"/>
  <c r="E18" i="1"/>
  <c r="E19" i="1"/>
  <c r="E20" i="1"/>
  <c r="E21" i="1"/>
  <c r="E16" i="1"/>
  <c r="E10" i="1"/>
  <c r="E11" i="1"/>
  <c r="E12" i="1"/>
  <c r="E13" i="1"/>
  <c r="E14" i="1"/>
  <c r="E9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<sst xmlns="http://schemas.openxmlformats.org/spreadsheetml/2006/main" count="961" uniqueCount="28">
  <si>
    <t>omega_alphaF_0.05</t>
  </si>
  <si>
    <t>FIC_alphaF_0.05</t>
  </si>
  <si>
    <t>Tier_alphaF_0.05</t>
  </si>
  <si>
    <t>omega_alphaF_0.1</t>
  </si>
  <si>
    <t>FIC_alphaF_0.1</t>
  </si>
  <si>
    <t>Tier_alphaF_0.1</t>
  </si>
  <si>
    <t>omega_alphaF_0.15</t>
  </si>
  <si>
    <t>FIC_alphaF_0.15</t>
  </si>
  <si>
    <t>Tier_alphaF_0.15</t>
  </si>
  <si>
    <t>omega_alphaF_0.2</t>
  </si>
  <si>
    <t>FIC_alphaF_0.2</t>
  </si>
  <si>
    <t>Tier_alphaF_0.2</t>
  </si>
  <si>
    <t>African_American - Caucasian</t>
  </si>
  <si>
    <t>Unacceptable</t>
  </si>
  <si>
    <t>Questionable</t>
  </si>
  <si>
    <t>African_American - Hispanic</t>
  </si>
  <si>
    <t>African_American - Other_Race</t>
  </si>
  <si>
    <t>Caucasian - Hispanic</t>
  </si>
  <si>
    <t>Acceptable</t>
  </si>
  <si>
    <t>Optimum</t>
  </si>
  <si>
    <t>Caucasian - Other_Race</t>
  </si>
  <si>
    <t>Hispanic - Other_Race</t>
  </si>
  <si>
    <t>Inter Group</t>
  </si>
  <si>
    <t>Phi_a,b</t>
  </si>
  <si>
    <t>H0</t>
  </si>
  <si>
    <t>Reject, Unfair</t>
  </si>
  <si>
    <t>Accept, Fair</t>
  </si>
  <si>
    <t>alpha^F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</si>
</sst>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A2BE-11E0-4EE0-B0E3-BF8984E9F5AC}">
  <dimension ref="A1:F28"/>
  <sheetViews>
    <sheetView topLeftCell="A9" workbookViewId="0">
      <selection sqref="A1:F28"/>
    </sheetView>
  </sheetViews>
  <sheetFormatPr defaultRowHeight="14.25" x14ac:dyDescent="0.45"/>
  <cols>
    <col min="1" max="1" width="25.73046875" bestFit="1" customWidth="1"/>
    <col min="2" max="2" width="17.1328125" bestFit="1" customWidth="1"/>
    <col min="3" max="3" width="13.9296875" bestFit="1" customWidth="1"/>
    <col min="4" max="4" width="14.59765625" bestFit="1" customWidth="1"/>
    <col min="5" max="6" width="14.59765625" customWidth="1"/>
    <col min="7" max="7" width="16.06640625" bestFit="1" customWidth="1"/>
    <col min="8" max="8" width="12.9296875" bestFit="1" customWidth="1"/>
    <col min="9" max="9" width="13.59765625" bestFit="1" customWidth="1"/>
    <col min="10" max="11" width="11.73046875" bestFit="1" customWidth="1"/>
    <col min="12" max="12" width="17.1328125" bestFit="1" customWidth="1"/>
    <col min="13" max="13" width="13.9296875" bestFit="1" customWidth="1"/>
    <col min="14" max="14" width="14.59765625" bestFit="1" customWidth="1"/>
    <col min="15" max="16" width="11.73046875" bestFit="1" customWidth="1"/>
    <col min="17" max="17" width="16.06640625" bestFit="1" customWidth="1"/>
    <col min="18" max="18" width="12.9296875" bestFit="1" customWidth="1"/>
    <col min="19" max="19" width="13.59765625" bestFit="1" customWidth="1"/>
    <col min="20" max="21" width="11.73046875" bestFit="1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0.17137918691608989</v>
      </c>
      <c r="C2">
        <v>-2.4275837383217982</v>
      </c>
      <c r="D2" t="s">
        <v>13</v>
      </c>
      <c r="E2">
        <f>B2/0.05</f>
        <v>3.4275837383217977</v>
      </c>
      <c r="F2" t="s">
        <v>25</v>
      </c>
    </row>
    <row r="3" spans="1:6" x14ac:dyDescent="0.45">
      <c r="A3" t="s">
        <v>15</v>
      </c>
      <c r="B3">
        <v>0.19754903479688901</v>
      </c>
      <c r="C3">
        <v>-2.9509806959377811</v>
      </c>
      <c r="D3" t="s">
        <v>13</v>
      </c>
      <c r="E3">
        <f t="shared" ref="E3:E7" si="0">B3/0.05</f>
        <v>3.9509806959377802</v>
      </c>
      <c r="F3" t="s">
        <v>25</v>
      </c>
    </row>
    <row r="4" spans="1:6" x14ac:dyDescent="0.45">
      <c r="A4" t="s">
        <v>16</v>
      </c>
      <c r="B4">
        <v>0.21475306181358331</v>
      </c>
      <c r="C4">
        <v>-3.2950612362716671</v>
      </c>
      <c r="D4" t="s">
        <v>13</v>
      </c>
      <c r="E4">
        <f t="shared" si="0"/>
        <v>4.2950612362716658</v>
      </c>
      <c r="F4" t="s">
        <v>25</v>
      </c>
    </row>
    <row r="5" spans="1:6" x14ac:dyDescent="0.45">
      <c r="A5" t="s">
        <v>17</v>
      </c>
      <c r="B5">
        <v>2.6169847880799121E-2</v>
      </c>
      <c r="C5">
        <v>0.47660304238401752</v>
      </c>
      <c r="D5" t="s">
        <v>14</v>
      </c>
      <c r="E5">
        <f t="shared" si="0"/>
        <v>0.52339695761598237</v>
      </c>
      <c r="F5" t="s">
        <v>26</v>
      </c>
    </row>
    <row r="6" spans="1:6" x14ac:dyDescent="0.45">
      <c r="A6" t="s">
        <v>20</v>
      </c>
      <c r="B6">
        <v>4.337387489749342E-2</v>
      </c>
      <c r="C6">
        <v>0.13252250205013161</v>
      </c>
      <c r="D6" t="s">
        <v>14</v>
      </c>
      <c r="E6">
        <f t="shared" si="0"/>
        <v>0.86747749794986839</v>
      </c>
      <c r="F6" t="s">
        <v>26</v>
      </c>
    </row>
    <row r="7" spans="1:6" x14ac:dyDescent="0.45">
      <c r="A7" t="s">
        <v>21</v>
      </c>
      <c r="B7">
        <v>1.7204027016694299E-2</v>
      </c>
      <c r="C7">
        <v>0.65591945966611409</v>
      </c>
      <c r="D7" t="s">
        <v>18</v>
      </c>
      <c r="E7">
        <f t="shared" si="0"/>
        <v>0.34408054033388596</v>
      </c>
      <c r="F7" t="s">
        <v>26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0.17137918691608989</v>
      </c>
      <c r="C9">
        <v>-0.7137918691608991</v>
      </c>
      <c r="D9" t="s">
        <v>13</v>
      </c>
      <c r="E9">
        <f>B9/0.1</f>
        <v>1.7137918691608989</v>
      </c>
      <c r="F9" t="s">
        <v>25</v>
      </c>
    </row>
    <row r="10" spans="1:6" x14ac:dyDescent="0.45">
      <c r="A10" t="s">
        <v>15</v>
      </c>
      <c r="B10">
        <v>0.19754903479688901</v>
      </c>
      <c r="C10">
        <v>-0.97549034796889034</v>
      </c>
      <c r="D10" t="s">
        <v>13</v>
      </c>
      <c r="E10">
        <f t="shared" ref="E10:E14" si="1">B10/0.1</f>
        <v>1.9754903479688901</v>
      </c>
      <c r="F10" t="s">
        <v>25</v>
      </c>
    </row>
    <row r="11" spans="1:6" x14ac:dyDescent="0.45">
      <c r="A11" t="s">
        <v>16</v>
      </c>
      <c r="B11">
        <v>0.21475306181358331</v>
      </c>
      <c r="C11">
        <v>-1.1475306181358329</v>
      </c>
      <c r="D11" t="s">
        <v>13</v>
      </c>
      <c r="E11">
        <f t="shared" si="1"/>
        <v>2.1475306181358329</v>
      </c>
      <c r="F11" t="s">
        <v>25</v>
      </c>
    </row>
    <row r="12" spans="1:6" x14ac:dyDescent="0.45">
      <c r="A12" t="s">
        <v>17</v>
      </c>
      <c r="B12">
        <v>2.6169847880799121E-2</v>
      </c>
      <c r="C12">
        <v>0.73830152119200876</v>
      </c>
      <c r="D12" t="s">
        <v>18</v>
      </c>
      <c r="E12">
        <f t="shared" si="1"/>
        <v>0.26169847880799119</v>
      </c>
      <c r="F12" t="s">
        <v>26</v>
      </c>
    </row>
    <row r="13" spans="1:6" x14ac:dyDescent="0.45">
      <c r="A13" t="s">
        <v>20</v>
      </c>
      <c r="B13">
        <v>4.337387489749342E-2</v>
      </c>
      <c r="C13">
        <v>0.56626125102506575</v>
      </c>
      <c r="D13" t="s">
        <v>18</v>
      </c>
      <c r="E13">
        <f t="shared" si="1"/>
        <v>0.4337387489749342</v>
      </c>
      <c r="F13" t="s">
        <v>26</v>
      </c>
    </row>
    <row r="14" spans="1:6" x14ac:dyDescent="0.45">
      <c r="A14" t="s">
        <v>21</v>
      </c>
      <c r="B14">
        <v>1.7204027016694299E-2</v>
      </c>
      <c r="C14">
        <v>0.82795972983305699</v>
      </c>
      <c r="D14" t="s">
        <v>19</v>
      </c>
      <c r="E14">
        <f t="shared" si="1"/>
        <v>0.17204027016694298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0.17137918691608989</v>
      </c>
      <c r="C16">
        <v>-0.1425279127739327</v>
      </c>
      <c r="D16" t="s">
        <v>13</v>
      </c>
      <c r="E16">
        <f>B16/0.15</f>
        <v>1.1425279127739327</v>
      </c>
      <c r="F16" t="s">
        <v>25</v>
      </c>
    </row>
    <row r="17" spans="1:6" x14ac:dyDescent="0.45">
      <c r="A17" t="s">
        <v>15</v>
      </c>
      <c r="B17">
        <v>0.19754903479688901</v>
      </c>
      <c r="C17">
        <v>-0.31699356531259371</v>
      </c>
      <c r="D17" t="s">
        <v>13</v>
      </c>
      <c r="E17">
        <f t="shared" ref="E17:E21" si="2">B17/0.15</f>
        <v>1.3169935653125935</v>
      </c>
      <c r="F17" t="s">
        <v>25</v>
      </c>
    </row>
    <row r="18" spans="1:6" x14ac:dyDescent="0.45">
      <c r="A18" t="s">
        <v>16</v>
      </c>
      <c r="B18">
        <v>0.21475306181358331</v>
      </c>
      <c r="C18">
        <v>-0.43168707875722218</v>
      </c>
      <c r="D18" t="s">
        <v>13</v>
      </c>
      <c r="E18">
        <f t="shared" si="2"/>
        <v>1.431687078757222</v>
      </c>
      <c r="F18" t="s">
        <v>25</v>
      </c>
    </row>
    <row r="19" spans="1:6" x14ac:dyDescent="0.45">
      <c r="A19" t="s">
        <v>17</v>
      </c>
      <c r="B19">
        <v>2.6169847880799121E-2</v>
      </c>
      <c r="C19">
        <v>0.82553434746133914</v>
      </c>
      <c r="D19" t="s">
        <v>19</v>
      </c>
      <c r="E19">
        <f t="shared" si="2"/>
        <v>0.17446565253866081</v>
      </c>
      <c r="F19" t="s">
        <v>26</v>
      </c>
    </row>
    <row r="20" spans="1:6" x14ac:dyDescent="0.45">
      <c r="A20" t="s">
        <v>20</v>
      </c>
      <c r="B20">
        <v>4.337387489749342E-2</v>
      </c>
      <c r="C20">
        <v>0.7108408340167105</v>
      </c>
      <c r="D20" t="s">
        <v>18</v>
      </c>
      <c r="E20">
        <f t="shared" si="2"/>
        <v>0.2891591659832895</v>
      </c>
      <c r="F20" t="s">
        <v>26</v>
      </c>
    </row>
    <row r="21" spans="1:6" x14ac:dyDescent="0.45">
      <c r="A21" t="s">
        <v>21</v>
      </c>
      <c r="B21">
        <v>1.7204027016694299E-2</v>
      </c>
      <c r="C21">
        <v>0.88530648655537136</v>
      </c>
      <c r="D21" t="s">
        <v>19</v>
      </c>
      <c r="E21">
        <f t="shared" si="2"/>
        <v>0.11469351344462866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0.17137918691608989</v>
      </c>
      <c r="C23">
        <v>0.14310406541955051</v>
      </c>
      <c r="D23" t="s">
        <v>14</v>
      </c>
      <c r="E23">
        <f>B23/0.2</f>
        <v>0.85689593458044944</v>
      </c>
      <c r="F23" t="s">
        <v>26</v>
      </c>
    </row>
    <row r="24" spans="1:6" x14ac:dyDescent="0.45">
      <c r="A24" t="s">
        <v>15</v>
      </c>
      <c r="B24">
        <v>0.19754903479688901</v>
      </c>
      <c r="C24">
        <v>1.225482601555483E-2</v>
      </c>
      <c r="D24" t="s">
        <v>14</v>
      </c>
      <c r="E24">
        <f t="shared" ref="E24:E28" si="3">B24/0.2</f>
        <v>0.98774517398444506</v>
      </c>
      <c r="F24" t="s">
        <v>26</v>
      </c>
    </row>
    <row r="25" spans="1:6" x14ac:dyDescent="0.45">
      <c r="A25" t="s">
        <v>16</v>
      </c>
      <c r="B25">
        <v>0.21475306181358331</v>
      </c>
      <c r="C25">
        <v>-7.3765309067916673E-2</v>
      </c>
      <c r="D25" t="s">
        <v>13</v>
      </c>
      <c r="E25">
        <f t="shared" si="3"/>
        <v>1.0737653090679165</v>
      </c>
      <c r="F25" t="s">
        <v>25</v>
      </c>
    </row>
    <row r="26" spans="1:6" x14ac:dyDescent="0.45">
      <c r="A26" t="s">
        <v>17</v>
      </c>
      <c r="B26">
        <v>2.6169847880799121E-2</v>
      </c>
      <c r="C26">
        <v>0.86915076059600438</v>
      </c>
      <c r="D26" t="s">
        <v>19</v>
      </c>
      <c r="E26">
        <f t="shared" si="3"/>
        <v>0.13084923940399559</v>
      </c>
      <c r="F26" t="s">
        <v>26</v>
      </c>
    </row>
    <row r="27" spans="1:6" x14ac:dyDescent="0.45">
      <c r="A27" t="s">
        <v>20</v>
      </c>
      <c r="B27">
        <v>4.337387489749342E-2</v>
      </c>
      <c r="C27">
        <v>0.78313062551253287</v>
      </c>
      <c r="D27" t="s">
        <v>19</v>
      </c>
      <c r="E27">
        <f t="shared" si="3"/>
        <v>0.2168693744874671</v>
      </c>
      <c r="F27" t="s">
        <v>26</v>
      </c>
    </row>
    <row r="28" spans="1:6" x14ac:dyDescent="0.45">
      <c r="A28" t="s">
        <v>21</v>
      </c>
      <c r="B28">
        <v>1.7204027016694299E-2</v>
      </c>
      <c r="C28">
        <v>0.91397986491652849</v>
      </c>
      <c r="D28" t="s">
        <v>19</v>
      </c>
      <c r="E28">
        <f t="shared" si="3"/>
        <v>8.6020135083471491E-2</v>
      </c>
      <c r="F2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EF7A-EB9B-4DBB-A89A-29041AB8E24B}">
  <dimension ref="A1:F28"/>
  <sheetViews>
    <sheetView topLeftCell="A9" workbookViewId="0">
      <selection sqref="A1:F28"/>
    </sheetView>
  </sheetViews>
  <sheetFormatPr defaultRowHeight="14.25" x14ac:dyDescent="0.45"/>
  <cols>
    <col min="1" max="1" width="25.73046875" bestFit="1" customWidth="1"/>
    <col min="2" max="2" width="17.1328125" bestFit="1" customWidth="1"/>
    <col min="3" max="3" width="13.9296875" bestFit="1" customWidth="1"/>
    <col min="4" max="4" width="14.59765625" bestFit="1" customWidth="1"/>
    <col min="5" max="5" width="16.06640625" bestFit="1" customWidth="1"/>
    <col min="6" max="6" width="13.398437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9.6690498154981541E-2</v>
      </c>
      <c r="C2">
        <v>-0.93380996309963082</v>
      </c>
      <c r="D2" t="s">
        <v>13</v>
      </c>
      <c r="E2">
        <f>B2/0.05</f>
        <v>1.9338099630996308</v>
      </c>
      <c r="F2" t="s">
        <v>25</v>
      </c>
    </row>
    <row r="3" spans="1:6" x14ac:dyDescent="0.45">
      <c r="A3" t="s">
        <v>15</v>
      </c>
      <c r="B3">
        <v>8.8277036616519977E-2</v>
      </c>
      <c r="C3">
        <v>-0.76554073233039954</v>
      </c>
      <c r="D3" t="s">
        <v>13</v>
      </c>
      <c r="E3">
        <f t="shared" ref="E3:E7" si="0">B3/0.05</f>
        <v>1.7655407323303995</v>
      </c>
      <c r="F3" t="s">
        <v>25</v>
      </c>
    </row>
    <row r="4" spans="1:6" x14ac:dyDescent="0.45">
      <c r="A4" t="s">
        <v>16</v>
      </c>
      <c r="B4">
        <v>4.9815498154981541E-2</v>
      </c>
      <c r="C4">
        <v>3.6900369003691762E-3</v>
      </c>
      <c r="D4" t="s">
        <v>14</v>
      </c>
      <c r="E4">
        <f t="shared" si="0"/>
        <v>0.99630996309963082</v>
      </c>
      <c r="F4" t="s">
        <v>26</v>
      </c>
    </row>
    <row r="5" spans="1:6" x14ac:dyDescent="0.45">
      <c r="A5" t="s">
        <v>17</v>
      </c>
      <c r="B5">
        <v>8.4134615384615641E-3</v>
      </c>
      <c r="C5">
        <v>0.83173076923076872</v>
      </c>
      <c r="D5" t="s">
        <v>19</v>
      </c>
      <c r="E5">
        <f t="shared" si="0"/>
        <v>0.16826923076923128</v>
      </c>
      <c r="F5" t="s">
        <v>26</v>
      </c>
    </row>
    <row r="6" spans="1:6" x14ac:dyDescent="0.45">
      <c r="A6" t="s">
        <v>20</v>
      </c>
      <c r="B6">
        <v>4.6875E-2</v>
      </c>
      <c r="C6">
        <v>6.25E-2</v>
      </c>
      <c r="D6" t="s">
        <v>14</v>
      </c>
      <c r="E6">
        <f t="shared" si="0"/>
        <v>0.9375</v>
      </c>
      <c r="F6" t="s">
        <v>26</v>
      </c>
    </row>
    <row r="7" spans="1:6" x14ac:dyDescent="0.45">
      <c r="A7" t="s">
        <v>21</v>
      </c>
      <c r="B7">
        <v>3.8461538461538443E-2</v>
      </c>
      <c r="C7">
        <v>0.23076923076923131</v>
      </c>
      <c r="D7" t="s">
        <v>14</v>
      </c>
      <c r="E7">
        <f t="shared" si="0"/>
        <v>0.76923076923076883</v>
      </c>
      <c r="F7" t="s">
        <v>26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9.6690498154981541E-2</v>
      </c>
      <c r="C9">
        <v>3.3095018450184588E-2</v>
      </c>
      <c r="D9" t="s">
        <v>14</v>
      </c>
      <c r="E9">
        <f>B9/0.1</f>
        <v>0.96690498154981541</v>
      </c>
      <c r="F9" t="s">
        <v>26</v>
      </c>
    </row>
    <row r="10" spans="1:6" x14ac:dyDescent="0.45">
      <c r="A10" t="s">
        <v>15</v>
      </c>
      <c r="B10">
        <v>8.8277036616519977E-2</v>
      </c>
      <c r="C10">
        <v>0.1172296338348002</v>
      </c>
      <c r="D10" t="s">
        <v>14</v>
      </c>
      <c r="E10">
        <f t="shared" ref="E10:E14" si="1">B10/0.1</f>
        <v>0.88277036616519977</v>
      </c>
      <c r="F10" t="s">
        <v>26</v>
      </c>
    </row>
    <row r="11" spans="1:6" x14ac:dyDescent="0.45">
      <c r="A11" t="s">
        <v>16</v>
      </c>
      <c r="B11">
        <v>4.9815498154981541E-2</v>
      </c>
      <c r="C11">
        <v>0.50184501845018459</v>
      </c>
      <c r="D11" t="s">
        <v>18</v>
      </c>
      <c r="E11">
        <f t="shared" si="1"/>
        <v>0.49815498154981541</v>
      </c>
      <c r="F11" t="s">
        <v>26</v>
      </c>
    </row>
    <row r="12" spans="1:6" x14ac:dyDescent="0.45">
      <c r="A12" t="s">
        <v>17</v>
      </c>
      <c r="B12">
        <v>8.4134615384615641E-3</v>
      </c>
      <c r="C12">
        <v>0.91586538461538436</v>
      </c>
      <c r="D12" t="s">
        <v>19</v>
      </c>
      <c r="E12">
        <f t="shared" si="1"/>
        <v>8.4134615384615641E-2</v>
      </c>
      <c r="F12" t="s">
        <v>26</v>
      </c>
    </row>
    <row r="13" spans="1:6" x14ac:dyDescent="0.45">
      <c r="A13" t="s">
        <v>20</v>
      </c>
      <c r="B13">
        <v>4.6875E-2</v>
      </c>
      <c r="C13">
        <v>0.53125</v>
      </c>
      <c r="D13" t="s">
        <v>18</v>
      </c>
      <c r="E13">
        <f t="shared" si="1"/>
        <v>0.46875</v>
      </c>
      <c r="F13" t="s">
        <v>26</v>
      </c>
    </row>
    <row r="14" spans="1:6" x14ac:dyDescent="0.45">
      <c r="A14" t="s">
        <v>21</v>
      </c>
      <c r="B14">
        <v>3.8461538461538443E-2</v>
      </c>
      <c r="C14">
        <v>0.61538461538461564</v>
      </c>
      <c r="D14" t="s">
        <v>18</v>
      </c>
      <c r="E14">
        <f t="shared" si="1"/>
        <v>0.38461538461538441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9.6690498154981541E-2</v>
      </c>
      <c r="C16">
        <v>0.35539667896678973</v>
      </c>
      <c r="D16" t="s">
        <v>14</v>
      </c>
      <c r="E16">
        <f>B16/0.15</f>
        <v>0.64460332103321027</v>
      </c>
      <c r="F16" t="s">
        <v>26</v>
      </c>
    </row>
    <row r="17" spans="1:6" x14ac:dyDescent="0.45">
      <c r="A17" t="s">
        <v>15</v>
      </c>
      <c r="B17">
        <v>8.8277036616519977E-2</v>
      </c>
      <c r="C17">
        <v>0.41148642255653339</v>
      </c>
      <c r="D17" t="s">
        <v>14</v>
      </c>
      <c r="E17">
        <f t="shared" ref="E17:E21" si="2">B17/0.15</f>
        <v>0.58851357744346655</v>
      </c>
      <c r="F17" t="s">
        <v>26</v>
      </c>
    </row>
    <row r="18" spans="1:6" x14ac:dyDescent="0.45">
      <c r="A18" t="s">
        <v>16</v>
      </c>
      <c r="B18">
        <v>4.9815498154981541E-2</v>
      </c>
      <c r="C18">
        <v>0.66789667896678973</v>
      </c>
      <c r="D18" t="s">
        <v>18</v>
      </c>
      <c r="E18">
        <f t="shared" si="2"/>
        <v>0.33210332103321027</v>
      </c>
      <c r="F18" t="s">
        <v>26</v>
      </c>
    </row>
    <row r="19" spans="1:6" x14ac:dyDescent="0.45">
      <c r="A19" t="s">
        <v>17</v>
      </c>
      <c r="B19">
        <v>8.4134615384615641E-3</v>
      </c>
      <c r="C19">
        <v>0.94391025641025628</v>
      </c>
      <c r="D19" t="s">
        <v>19</v>
      </c>
      <c r="E19">
        <f t="shared" si="2"/>
        <v>5.6089743589743765E-2</v>
      </c>
      <c r="F19" t="s">
        <v>26</v>
      </c>
    </row>
    <row r="20" spans="1:6" x14ac:dyDescent="0.45">
      <c r="A20" t="s">
        <v>20</v>
      </c>
      <c r="B20">
        <v>4.6875E-2</v>
      </c>
      <c r="C20">
        <v>0.6875</v>
      </c>
      <c r="D20" t="s">
        <v>18</v>
      </c>
      <c r="E20">
        <f t="shared" si="2"/>
        <v>0.3125</v>
      </c>
      <c r="F20" t="s">
        <v>26</v>
      </c>
    </row>
    <row r="21" spans="1:6" x14ac:dyDescent="0.45">
      <c r="A21" t="s">
        <v>21</v>
      </c>
      <c r="B21">
        <v>3.8461538461538443E-2</v>
      </c>
      <c r="C21">
        <v>0.74358974358974372</v>
      </c>
      <c r="D21" t="s">
        <v>18</v>
      </c>
      <c r="E21">
        <f t="shared" si="2"/>
        <v>0.25641025641025628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9.6690498154981541E-2</v>
      </c>
      <c r="C23">
        <v>0.51654750922509229</v>
      </c>
      <c r="D23" t="s">
        <v>18</v>
      </c>
      <c r="E23">
        <f>B23/0.2</f>
        <v>0.48345249077490771</v>
      </c>
      <c r="F23" t="s">
        <v>26</v>
      </c>
    </row>
    <row r="24" spans="1:6" x14ac:dyDescent="0.45">
      <c r="A24" t="s">
        <v>15</v>
      </c>
      <c r="B24">
        <v>8.8277036616519977E-2</v>
      </c>
      <c r="C24">
        <v>0.55861481691740011</v>
      </c>
      <c r="D24" t="s">
        <v>18</v>
      </c>
      <c r="E24">
        <f t="shared" ref="E24:E28" si="3">B24/0.2</f>
        <v>0.44138518308259989</v>
      </c>
      <c r="F24" t="s">
        <v>26</v>
      </c>
    </row>
    <row r="25" spans="1:6" x14ac:dyDescent="0.45">
      <c r="A25" t="s">
        <v>16</v>
      </c>
      <c r="B25">
        <v>4.9815498154981541E-2</v>
      </c>
      <c r="C25">
        <v>0.75092250922509229</v>
      </c>
      <c r="D25" t="s">
        <v>19</v>
      </c>
      <c r="E25">
        <f t="shared" si="3"/>
        <v>0.24907749077490771</v>
      </c>
      <c r="F25" t="s">
        <v>26</v>
      </c>
    </row>
    <row r="26" spans="1:6" x14ac:dyDescent="0.45">
      <c r="A26" t="s">
        <v>17</v>
      </c>
      <c r="B26">
        <v>8.4134615384615641E-3</v>
      </c>
      <c r="C26">
        <v>0.95793269230769218</v>
      </c>
      <c r="D26" t="s">
        <v>19</v>
      </c>
      <c r="E26">
        <f t="shared" si="3"/>
        <v>4.206730769230782E-2</v>
      </c>
      <c r="F26" t="s">
        <v>26</v>
      </c>
    </row>
    <row r="27" spans="1:6" x14ac:dyDescent="0.45">
      <c r="A27" t="s">
        <v>20</v>
      </c>
      <c r="B27">
        <v>4.6875E-2</v>
      </c>
      <c r="C27">
        <v>0.765625</v>
      </c>
      <c r="D27" t="s">
        <v>19</v>
      </c>
      <c r="E27">
        <f t="shared" si="3"/>
        <v>0.234375</v>
      </c>
      <c r="F27" t="s">
        <v>26</v>
      </c>
    </row>
    <row r="28" spans="1:6" x14ac:dyDescent="0.45">
      <c r="A28" t="s">
        <v>21</v>
      </c>
      <c r="B28">
        <v>3.8461538461538443E-2</v>
      </c>
      <c r="C28">
        <v>0.80769230769230782</v>
      </c>
      <c r="D28" t="s">
        <v>19</v>
      </c>
      <c r="E28">
        <f t="shared" si="3"/>
        <v>0.19230769230769221</v>
      </c>
      <c r="F2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52F6-98D8-4D0B-A446-AB0D9E8464CE}">
  <dimension ref="A1:F28"/>
  <sheetViews>
    <sheetView topLeftCell="A9" workbookViewId="0">
      <selection sqref="A1:F28"/>
    </sheetView>
  </sheetViews>
  <sheetFormatPr defaultRowHeight="14.25" x14ac:dyDescent="0.45"/>
  <cols>
    <col min="1" max="1" width="25.73046875" bestFit="1" customWidth="1"/>
    <col min="2" max="2" width="17.1328125" bestFit="1" customWidth="1"/>
    <col min="3" max="3" width="13.9296875" bestFit="1" customWidth="1"/>
    <col min="4" max="4" width="14.59765625" bestFit="1" customWidth="1"/>
    <col min="5" max="5" width="11.73046875" bestFit="1" customWidth="1"/>
    <col min="6" max="6" width="11.46484375" bestFit="1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6.7869514276253762E-2</v>
      </c>
      <c r="C2">
        <v>-0.35739028552507518</v>
      </c>
      <c r="D2" t="s">
        <v>13</v>
      </c>
      <c r="E2">
        <f>B2/0.05</f>
        <v>1.3573902855250752</v>
      </c>
      <c r="F2" t="s">
        <v>25</v>
      </c>
    </row>
    <row r="3" spans="1:6" x14ac:dyDescent="0.45">
      <c r="A3" t="s">
        <v>15</v>
      </c>
      <c r="B3">
        <v>8.8768115942029047E-2</v>
      </c>
      <c r="C3">
        <v>-0.77536231884058093</v>
      </c>
      <c r="D3" t="s">
        <v>13</v>
      </c>
      <c r="E3">
        <f t="shared" ref="E3:E7" si="0">B3/0.05</f>
        <v>1.7753623188405809</v>
      </c>
      <c r="F3" t="s">
        <v>25</v>
      </c>
    </row>
    <row r="4" spans="1:6" x14ac:dyDescent="0.45">
      <c r="A4" t="s">
        <v>16</v>
      </c>
      <c r="B4">
        <v>7.5724637681159446E-2</v>
      </c>
      <c r="C4">
        <v>-0.51449275362318891</v>
      </c>
      <c r="D4" t="s">
        <v>13</v>
      </c>
      <c r="E4">
        <f t="shared" si="0"/>
        <v>1.5144927536231889</v>
      </c>
      <c r="F4" t="s">
        <v>25</v>
      </c>
    </row>
    <row r="5" spans="1:6" x14ac:dyDescent="0.45">
      <c r="A5" t="s">
        <v>17</v>
      </c>
      <c r="B5">
        <v>2.0898601665775281E-2</v>
      </c>
      <c r="C5">
        <v>0.5820279666844943</v>
      </c>
      <c r="D5" t="s">
        <v>18</v>
      </c>
      <c r="E5">
        <f t="shared" si="0"/>
        <v>0.41797203331550559</v>
      </c>
      <c r="F5" t="s">
        <v>26</v>
      </c>
    </row>
    <row r="6" spans="1:6" x14ac:dyDescent="0.45">
      <c r="A6" t="s">
        <v>20</v>
      </c>
      <c r="B6">
        <v>7.8551234049056839E-3</v>
      </c>
      <c r="C6">
        <v>0.84289753190188632</v>
      </c>
      <c r="D6" t="s">
        <v>19</v>
      </c>
      <c r="E6">
        <f t="shared" si="0"/>
        <v>0.15710246809811368</v>
      </c>
      <c r="F6" t="s">
        <v>26</v>
      </c>
    </row>
    <row r="7" spans="1:6" x14ac:dyDescent="0.45">
      <c r="A7" t="s">
        <v>21</v>
      </c>
      <c r="B7">
        <v>1.3043478260869599E-2</v>
      </c>
      <c r="C7">
        <v>0.73913043478260798</v>
      </c>
      <c r="D7" t="s">
        <v>18</v>
      </c>
      <c r="E7">
        <f t="shared" si="0"/>
        <v>0.26086956521739196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6.7869514276253762E-2</v>
      </c>
      <c r="C9">
        <v>0.32130485723746238</v>
      </c>
      <c r="D9" t="s">
        <v>14</v>
      </c>
      <c r="E9">
        <f>B9/0.1</f>
        <v>0.67869514276253762</v>
      </c>
      <c r="F9" t="s">
        <v>26</v>
      </c>
    </row>
    <row r="10" spans="1:6" x14ac:dyDescent="0.45">
      <c r="A10" t="s">
        <v>15</v>
      </c>
      <c r="B10">
        <v>8.8768115942029047E-2</v>
      </c>
      <c r="C10">
        <v>0.11231884057970951</v>
      </c>
      <c r="D10" t="s">
        <v>14</v>
      </c>
      <c r="E10">
        <f t="shared" ref="E10:E14" si="1">B10/0.1</f>
        <v>0.88768115942029047</v>
      </c>
      <c r="F10" t="s">
        <v>26</v>
      </c>
    </row>
    <row r="11" spans="1:6" x14ac:dyDescent="0.45">
      <c r="A11" t="s">
        <v>16</v>
      </c>
      <c r="B11">
        <v>7.5724637681159446E-2</v>
      </c>
      <c r="C11">
        <v>0.24275362318840549</v>
      </c>
      <c r="D11" t="s">
        <v>14</v>
      </c>
      <c r="E11">
        <f t="shared" si="1"/>
        <v>0.75724637681159446</v>
      </c>
      <c r="F11" t="s">
        <v>26</v>
      </c>
    </row>
    <row r="12" spans="1:6" x14ac:dyDescent="0.45">
      <c r="A12" t="s">
        <v>17</v>
      </c>
      <c r="B12">
        <v>2.0898601665775281E-2</v>
      </c>
      <c r="C12">
        <v>0.79101398334224715</v>
      </c>
      <c r="D12" t="s">
        <v>19</v>
      </c>
      <c r="E12">
        <f t="shared" si="1"/>
        <v>0.20898601665775279</v>
      </c>
      <c r="F12" t="s">
        <v>26</v>
      </c>
    </row>
    <row r="13" spans="1:6" x14ac:dyDescent="0.45">
      <c r="A13" t="s">
        <v>20</v>
      </c>
      <c r="B13">
        <v>7.8551234049056839E-3</v>
      </c>
      <c r="C13">
        <v>0.92144876595094316</v>
      </c>
      <c r="D13" t="s">
        <v>19</v>
      </c>
      <c r="E13">
        <f t="shared" si="1"/>
        <v>7.8551234049056839E-2</v>
      </c>
      <c r="F13" t="s">
        <v>26</v>
      </c>
    </row>
    <row r="14" spans="1:6" x14ac:dyDescent="0.45">
      <c r="A14" t="s">
        <v>21</v>
      </c>
      <c r="B14">
        <v>1.3043478260869599E-2</v>
      </c>
      <c r="C14">
        <v>0.86956521739130399</v>
      </c>
      <c r="D14" t="s">
        <v>19</v>
      </c>
      <c r="E14">
        <f t="shared" si="1"/>
        <v>0.13043478260869598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6.7869514276253762E-2</v>
      </c>
      <c r="C16">
        <v>0.54753657149164159</v>
      </c>
      <c r="D16" t="s">
        <v>18</v>
      </c>
      <c r="E16">
        <f>B16/0.15</f>
        <v>0.45246342850835841</v>
      </c>
      <c r="F16" t="s">
        <v>26</v>
      </c>
    </row>
    <row r="17" spans="1:6" x14ac:dyDescent="0.45">
      <c r="A17" t="s">
        <v>15</v>
      </c>
      <c r="B17">
        <v>8.8768115942029047E-2</v>
      </c>
      <c r="C17">
        <v>0.40821256038647302</v>
      </c>
      <c r="D17" t="s">
        <v>14</v>
      </c>
      <c r="E17">
        <f t="shared" ref="E17:E21" si="2">B17/0.15</f>
        <v>0.59178743961352698</v>
      </c>
      <c r="F17" t="s">
        <v>26</v>
      </c>
    </row>
    <row r="18" spans="1:6" x14ac:dyDescent="0.45">
      <c r="A18" t="s">
        <v>16</v>
      </c>
      <c r="B18">
        <v>7.5724637681159446E-2</v>
      </c>
      <c r="C18">
        <v>0.49516908212560362</v>
      </c>
      <c r="D18" t="s">
        <v>14</v>
      </c>
      <c r="E18">
        <f t="shared" si="2"/>
        <v>0.50483091787439638</v>
      </c>
      <c r="F18" t="s">
        <v>26</v>
      </c>
    </row>
    <row r="19" spans="1:6" x14ac:dyDescent="0.45">
      <c r="A19" t="s">
        <v>17</v>
      </c>
      <c r="B19">
        <v>2.0898601665775281E-2</v>
      </c>
      <c r="C19">
        <v>0.86067598889483143</v>
      </c>
      <c r="D19" t="s">
        <v>19</v>
      </c>
      <c r="E19">
        <f t="shared" si="2"/>
        <v>0.13932401110516854</v>
      </c>
      <c r="F19" t="s">
        <v>26</v>
      </c>
    </row>
    <row r="20" spans="1:6" x14ac:dyDescent="0.45">
      <c r="A20" t="s">
        <v>20</v>
      </c>
      <c r="B20">
        <v>7.8551234049056839E-3</v>
      </c>
      <c r="C20">
        <v>0.94763251063396214</v>
      </c>
      <c r="D20" t="s">
        <v>19</v>
      </c>
      <c r="E20">
        <f t="shared" si="2"/>
        <v>5.2367489366037898E-2</v>
      </c>
      <c r="F20" t="s">
        <v>26</v>
      </c>
    </row>
    <row r="21" spans="1:6" x14ac:dyDescent="0.45">
      <c r="A21" t="s">
        <v>21</v>
      </c>
      <c r="B21">
        <v>1.3043478260869599E-2</v>
      </c>
      <c r="C21">
        <v>0.91304347826086929</v>
      </c>
      <c r="D21" t="s">
        <v>19</v>
      </c>
      <c r="E21">
        <f t="shared" si="2"/>
        <v>8.6956521739130668E-2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6.7869514276253762E-2</v>
      </c>
      <c r="C23">
        <v>0.66065242861873119</v>
      </c>
      <c r="D23" t="s">
        <v>18</v>
      </c>
      <c r="E23">
        <f>B23/0.2</f>
        <v>0.33934757138126881</v>
      </c>
      <c r="F23" t="s">
        <v>26</v>
      </c>
    </row>
    <row r="24" spans="1:6" x14ac:dyDescent="0.45">
      <c r="A24" t="s">
        <v>15</v>
      </c>
      <c r="B24">
        <v>8.8768115942029047E-2</v>
      </c>
      <c r="C24">
        <v>0.55615942028985477</v>
      </c>
      <c r="D24" t="s">
        <v>18</v>
      </c>
      <c r="E24">
        <f t="shared" ref="E24:E28" si="3">B24/0.2</f>
        <v>0.44384057971014523</v>
      </c>
      <c r="F24" t="s">
        <v>26</v>
      </c>
    </row>
    <row r="25" spans="1:6" x14ac:dyDescent="0.45">
      <c r="A25" t="s">
        <v>16</v>
      </c>
      <c r="B25">
        <v>7.5724637681159446E-2</v>
      </c>
      <c r="C25">
        <v>0.62137681159420277</v>
      </c>
      <c r="D25" t="s">
        <v>18</v>
      </c>
      <c r="E25">
        <f t="shared" si="3"/>
        <v>0.37862318840579723</v>
      </c>
      <c r="F25" t="s">
        <v>26</v>
      </c>
    </row>
    <row r="26" spans="1:6" x14ac:dyDescent="0.45">
      <c r="A26" t="s">
        <v>17</v>
      </c>
      <c r="B26">
        <v>2.0898601665775281E-2</v>
      </c>
      <c r="C26">
        <v>0.89550699167112358</v>
      </c>
      <c r="D26" t="s">
        <v>19</v>
      </c>
      <c r="E26">
        <f t="shared" si="3"/>
        <v>0.1044930083288764</v>
      </c>
      <c r="F26" t="s">
        <v>26</v>
      </c>
    </row>
    <row r="27" spans="1:6" x14ac:dyDescent="0.45">
      <c r="A27" t="s">
        <v>20</v>
      </c>
      <c r="B27">
        <v>7.8551234049056839E-3</v>
      </c>
      <c r="C27">
        <v>0.96072438297547158</v>
      </c>
      <c r="D27" t="s">
        <v>19</v>
      </c>
      <c r="E27">
        <f t="shared" si="3"/>
        <v>3.927561702452842E-2</v>
      </c>
      <c r="F27" t="s">
        <v>26</v>
      </c>
    </row>
    <row r="28" spans="1:6" x14ac:dyDescent="0.45">
      <c r="A28" t="s">
        <v>21</v>
      </c>
      <c r="B28">
        <v>1.3043478260869599E-2</v>
      </c>
      <c r="C28">
        <v>0.934782608695652</v>
      </c>
      <c r="D28" t="s">
        <v>19</v>
      </c>
      <c r="E28">
        <f t="shared" si="3"/>
        <v>6.5217391304347991E-2</v>
      </c>
      <c r="F28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5159-4D19-48AA-8491-884990EDB153}">
  <dimension ref="A1:F28"/>
  <sheetViews>
    <sheetView topLeftCell="A9" workbookViewId="0">
      <selection sqref="A1:F28"/>
    </sheetView>
  </sheetViews>
  <sheetFormatPr defaultRowHeight="14.25" x14ac:dyDescent="0.45"/>
  <cols>
    <col min="1" max="1" width="26.73046875" customWidth="1"/>
    <col min="2" max="2" width="20.33203125" customWidth="1"/>
    <col min="3" max="3" width="16.59765625" customWidth="1"/>
    <col min="4" max="4" width="15.86328125" customWidth="1"/>
    <col min="5" max="5" width="15.1328125" customWidth="1"/>
    <col min="6" max="6" width="14.929687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6.7869514276253776E-2</v>
      </c>
      <c r="C2">
        <v>-0.35739028552507551</v>
      </c>
      <c r="D2" t="s">
        <v>13</v>
      </c>
      <c r="E2">
        <f>B2/0.05</f>
        <v>1.3573902855250755</v>
      </c>
      <c r="F2" t="s">
        <v>25</v>
      </c>
    </row>
    <row r="3" spans="1:6" x14ac:dyDescent="0.45">
      <c r="A3" t="s">
        <v>15</v>
      </c>
      <c r="B3">
        <v>8.8768115942028977E-2</v>
      </c>
      <c r="C3">
        <v>-0.77536231884057938</v>
      </c>
      <c r="D3" t="s">
        <v>13</v>
      </c>
      <c r="E3">
        <f t="shared" ref="E3:E7" si="0">B3/0.05</f>
        <v>1.7753623188405794</v>
      </c>
      <c r="F3" t="s">
        <v>25</v>
      </c>
    </row>
    <row r="4" spans="1:6" x14ac:dyDescent="0.45">
      <c r="A4" t="s">
        <v>16</v>
      </c>
      <c r="B4">
        <v>7.5724637681159404E-2</v>
      </c>
      <c r="C4">
        <v>-0.51449275362318803</v>
      </c>
      <c r="D4" t="s">
        <v>13</v>
      </c>
      <c r="E4">
        <f t="shared" si="0"/>
        <v>1.514492753623188</v>
      </c>
      <c r="F4" t="s">
        <v>25</v>
      </c>
    </row>
    <row r="5" spans="1:6" x14ac:dyDescent="0.45">
      <c r="A5" t="s">
        <v>17</v>
      </c>
      <c r="B5">
        <v>2.0898601665775202E-2</v>
      </c>
      <c r="C5">
        <v>0.58202796668449597</v>
      </c>
      <c r="D5" t="s">
        <v>18</v>
      </c>
      <c r="E5">
        <f t="shared" si="0"/>
        <v>0.41797203331550403</v>
      </c>
      <c r="F5" t="s">
        <v>26</v>
      </c>
    </row>
    <row r="6" spans="1:6" x14ac:dyDescent="0.45">
      <c r="A6" t="s">
        <v>20</v>
      </c>
      <c r="B6">
        <v>7.8551234049056284E-3</v>
      </c>
      <c r="C6">
        <v>0.84289753190188743</v>
      </c>
      <c r="D6" t="s">
        <v>19</v>
      </c>
      <c r="E6">
        <f t="shared" si="0"/>
        <v>0.15710246809811257</v>
      </c>
      <c r="F6" t="s">
        <v>26</v>
      </c>
    </row>
    <row r="7" spans="1:6" x14ac:dyDescent="0.45">
      <c r="A7" t="s">
        <v>21</v>
      </c>
      <c r="B7">
        <v>1.304347826086957E-2</v>
      </c>
      <c r="C7">
        <v>0.73913043478260854</v>
      </c>
      <c r="D7" t="s">
        <v>18</v>
      </c>
      <c r="E7">
        <f t="shared" si="0"/>
        <v>0.26086956521739135</v>
      </c>
      <c r="F7" t="s">
        <v>26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6.7869514276253776E-2</v>
      </c>
      <c r="C9">
        <v>0.32130485723746233</v>
      </c>
      <c r="D9" t="s">
        <v>14</v>
      </c>
      <c r="E9">
        <f>B9/0.1</f>
        <v>0.67869514276253773</v>
      </c>
      <c r="F9" t="s">
        <v>26</v>
      </c>
    </row>
    <row r="10" spans="1:6" x14ac:dyDescent="0.45">
      <c r="A10" t="s">
        <v>15</v>
      </c>
      <c r="B10">
        <v>8.8768115942028977E-2</v>
      </c>
      <c r="C10">
        <v>0.1123188405797103</v>
      </c>
      <c r="D10" t="s">
        <v>14</v>
      </c>
      <c r="E10">
        <f t="shared" ref="E10:E14" si="1">B10/0.1</f>
        <v>0.88768115942028969</v>
      </c>
      <c r="F10" t="s">
        <v>26</v>
      </c>
    </row>
    <row r="11" spans="1:6" x14ac:dyDescent="0.45">
      <c r="A11" t="s">
        <v>16</v>
      </c>
      <c r="B11">
        <v>7.5724637681159404E-2</v>
      </c>
      <c r="C11">
        <v>0.24275362318840599</v>
      </c>
      <c r="D11" t="s">
        <v>14</v>
      </c>
      <c r="E11">
        <f t="shared" si="1"/>
        <v>0.75724637681159401</v>
      </c>
      <c r="F11" t="s">
        <v>26</v>
      </c>
    </row>
    <row r="12" spans="1:6" x14ac:dyDescent="0.45">
      <c r="A12" t="s">
        <v>17</v>
      </c>
      <c r="B12">
        <v>2.0898601665775202E-2</v>
      </c>
      <c r="C12">
        <v>0.79101398334224804</v>
      </c>
      <c r="D12" t="s">
        <v>19</v>
      </c>
      <c r="E12">
        <f t="shared" si="1"/>
        <v>0.20898601665775202</v>
      </c>
      <c r="F12" t="s">
        <v>26</v>
      </c>
    </row>
    <row r="13" spans="1:6" x14ac:dyDescent="0.45">
      <c r="A13" t="s">
        <v>20</v>
      </c>
      <c r="B13">
        <v>7.8551234049056284E-3</v>
      </c>
      <c r="C13">
        <v>0.92144876595094372</v>
      </c>
      <c r="D13" t="s">
        <v>19</v>
      </c>
      <c r="E13">
        <f t="shared" si="1"/>
        <v>7.8551234049056284E-2</v>
      </c>
      <c r="F13" t="s">
        <v>26</v>
      </c>
    </row>
    <row r="14" spans="1:6" x14ac:dyDescent="0.45">
      <c r="A14" t="s">
        <v>21</v>
      </c>
      <c r="B14">
        <v>1.304347826086957E-2</v>
      </c>
      <c r="C14">
        <v>0.86956521739130421</v>
      </c>
      <c r="D14" t="s">
        <v>19</v>
      </c>
      <c r="E14">
        <f t="shared" si="1"/>
        <v>0.13043478260869568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6.7869514276253776E-2</v>
      </c>
      <c r="C16">
        <v>0.54753657149164148</v>
      </c>
      <c r="D16" t="s">
        <v>18</v>
      </c>
      <c r="E16">
        <f>B16/0.15</f>
        <v>0.45246342850835852</v>
      </c>
      <c r="F16" t="s">
        <v>26</v>
      </c>
    </row>
    <row r="17" spans="1:6" x14ac:dyDescent="0.45">
      <c r="A17" t="s">
        <v>15</v>
      </c>
      <c r="B17">
        <v>8.8768115942028977E-2</v>
      </c>
      <c r="C17">
        <v>0.40821256038647352</v>
      </c>
      <c r="D17" t="s">
        <v>14</v>
      </c>
      <c r="E17">
        <f t="shared" ref="E17:E21" si="2">B17/0.15</f>
        <v>0.59178743961352653</v>
      </c>
      <c r="F17" t="s">
        <v>26</v>
      </c>
    </row>
    <row r="18" spans="1:6" x14ac:dyDescent="0.45">
      <c r="A18" t="s">
        <v>16</v>
      </c>
      <c r="B18">
        <v>7.5724637681159404E-2</v>
      </c>
      <c r="C18">
        <v>0.49516908212560401</v>
      </c>
      <c r="D18" t="s">
        <v>14</v>
      </c>
      <c r="E18">
        <f t="shared" si="2"/>
        <v>0.50483091787439605</v>
      </c>
      <c r="F18" t="s">
        <v>26</v>
      </c>
    </row>
    <row r="19" spans="1:6" x14ac:dyDescent="0.45">
      <c r="A19" t="s">
        <v>17</v>
      </c>
      <c r="B19">
        <v>2.0898601665775202E-2</v>
      </c>
      <c r="C19">
        <v>0.86067598889483199</v>
      </c>
      <c r="D19" t="s">
        <v>19</v>
      </c>
      <c r="E19">
        <f t="shared" si="2"/>
        <v>0.13932401110516801</v>
      </c>
      <c r="F19" t="s">
        <v>26</v>
      </c>
    </row>
    <row r="20" spans="1:6" x14ac:dyDescent="0.45">
      <c r="A20" t="s">
        <v>20</v>
      </c>
      <c r="B20">
        <v>7.8551234049056284E-3</v>
      </c>
      <c r="C20">
        <v>0.94763251063396248</v>
      </c>
      <c r="D20" t="s">
        <v>19</v>
      </c>
      <c r="E20">
        <f t="shared" si="2"/>
        <v>5.2367489366037523E-2</v>
      </c>
      <c r="F20" t="s">
        <v>26</v>
      </c>
    </row>
    <row r="21" spans="1:6" x14ac:dyDescent="0.45">
      <c r="A21" t="s">
        <v>21</v>
      </c>
      <c r="B21">
        <v>1.304347826086957E-2</v>
      </c>
      <c r="C21">
        <v>0.91304347826086951</v>
      </c>
      <c r="D21" t="s">
        <v>19</v>
      </c>
      <c r="E21">
        <f t="shared" si="2"/>
        <v>8.6956521739130474E-2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6.7869514276253776E-2</v>
      </c>
      <c r="C23">
        <v>0.66065242861873119</v>
      </c>
      <c r="D23" t="s">
        <v>18</v>
      </c>
      <c r="E23">
        <f>B23/0.2</f>
        <v>0.33934757138126886</v>
      </c>
      <c r="F23" t="s">
        <v>26</v>
      </c>
    </row>
    <row r="24" spans="1:6" x14ac:dyDescent="0.45">
      <c r="A24" t="s">
        <v>15</v>
      </c>
      <c r="B24">
        <v>8.8768115942028977E-2</v>
      </c>
      <c r="C24">
        <v>0.55615942028985521</v>
      </c>
      <c r="D24" t="s">
        <v>18</v>
      </c>
      <c r="E24">
        <f t="shared" ref="E24:E28" si="3">B24/0.2</f>
        <v>0.44384057971014484</v>
      </c>
      <c r="F24" t="s">
        <v>26</v>
      </c>
    </row>
    <row r="25" spans="1:6" x14ac:dyDescent="0.45">
      <c r="A25" t="s">
        <v>16</v>
      </c>
      <c r="B25">
        <v>7.5724637681159404E-2</v>
      </c>
      <c r="C25">
        <v>0.62137681159420299</v>
      </c>
      <c r="D25" t="s">
        <v>18</v>
      </c>
      <c r="E25">
        <f t="shared" si="3"/>
        <v>0.37862318840579701</v>
      </c>
      <c r="F25" t="s">
        <v>26</v>
      </c>
    </row>
    <row r="26" spans="1:6" x14ac:dyDescent="0.45">
      <c r="A26" t="s">
        <v>17</v>
      </c>
      <c r="B26">
        <v>2.0898601665775202E-2</v>
      </c>
      <c r="C26">
        <v>0.89550699167112402</v>
      </c>
      <c r="D26" t="s">
        <v>19</v>
      </c>
      <c r="E26">
        <f t="shared" si="3"/>
        <v>0.10449300832887601</v>
      </c>
      <c r="F26" t="s">
        <v>26</v>
      </c>
    </row>
    <row r="27" spans="1:6" x14ac:dyDescent="0.45">
      <c r="A27" t="s">
        <v>20</v>
      </c>
      <c r="B27">
        <v>7.8551234049056284E-3</v>
      </c>
      <c r="C27">
        <v>0.96072438297547191</v>
      </c>
      <c r="D27" t="s">
        <v>19</v>
      </c>
      <c r="E27">
        <f t="shared" si="3"/>
        <v>3.9275617024528142E-2</v>
      </c>
      <c r="F27" t="s">
        <v>26</v>
      </c>
    </row>
    <row r="28" spans="1:6" x14ac:dyDescent="0.45">
      <c r="A28" t="s">
        <v>21</v>
      </c>
      <c r="B28">
        <v>1.304347826086957E-2</v>
      </c>
      <c r="C28">
        <v>0.93478260869565211</v>
      </c>
      <c r="D28" t="s">
        <v>19</v>
      </c>
      <c r="E28">
        <f t="shared" si="3"/>
        <v>6.5217391304347838E-2</v>
      </c>
      <c r="F28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D286-C2FB-4469-9099-0824407D2669}">
  <dimension ref="A1:F28"/>
  <sheetViews>
    <sheetView topLeftCell="A9" workbookViewId="0">
      <selection sqref="A1:F28"/>
    </sheetView>
  </sheetViews>
  <sheetFormatPr defaultRowHeight="14.25" x14ac:dyDescent="0.45"/>
  <cols>
    <col min="1" max="1" width="26.73046875" customWidth="1"/>
    <col min="2" max="2" width="17.1328125" bestFit="1" customWidth="1"/>
    <col min="3" max="3" width="13.9296875" bestFit="1" customWidth="1"/>
    <col min="4" max="4" width="14.59765625" bestFit="1" customWidth="1"/>
    <col min="5" max="5" width="14.19921875" customWidth="1"/>
    <col min="6" max="6" width="14.7304687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0.13836200276455229</v>
      </c>
      <c r="C2">
        <v>-1.767240055291047</v>
      </c>
      <c r="D2" t="s">
        <v>13</v>
      </c>
      <c r="E2">
        <f>B2/0.05</f>
        <v>2.7672400552910457</v>
      </c>
      <c r="F2" t="s">
        <v>25</v>
      </c>
    </row>
    <row r="3" spans="1:6" x14ac:dyDescent="0.45">
      <c r="A3" t="s">
        <v>15</v>
      </c>
      <c r="B3">
        <v>0.1114012184508268</v>
      </c>
      <c r="C3">
        <v>-1.2280243690165371</v>
      </c>
      <c r="D3" t="s">
        <v>13</v>
      </c>
      <c r="E3">
        <f t="shared" ref="E3:E7" si="0">B3/0.05</f>
        <v>2.228024369016536</v>
      </c>
      <c r="F3" t="s">
        <v>25</v>
      </c>
    </row>
    <row r="4" spans="1:6" x14ac:dyDescent="0.45">
      <c r="A4" t="s">
        <v>16</v>
      </c>
      <c r="B4">
        <v>0.27806788511749347</v>
      </c>
      <c r="C4">
        <v>-4.561357702349869</v>
      </c>
      <c r="D4" t="s">
        <v>13</v>
      </c>
      <c r="E4">
        <f t="shared" si="0"/>
        <v>5.561357702349869</v>
      </c>
      <c r="F4" t="s">
        <v>25</v>
      </c>
    </row>
    <row r="5" spans="1:6" x14ac:dyDescent="0.45">
      <c r="A5" t="s">
        <v>17</v>
      </c>
      <c r="B5">
        <v>2.6960784313725509E-2</v>
      </c>
      <c r="C5">
        <v>0.46078431372548989</v>
      </c>
      <c r="D5" t="s">
        <v>14</v>
      </c>
      <c r="E5">
        <f t="shared" si="0"/>
        <v>0.53921568627451011</v>
      </c>
      <c r="F5" t="s">
        <v>26</v>
      </c>
    </row>
    <row r="6" spans="1:6" x14ac:dyDescent="0.45">
      <c r="A6" t="s">
        <v>20</v>
      </c>
      <c r="B6">
        <v>0.1397058823529411</v>
      </c>
      <c r="C6">
        <v>-1.794117647058822</v>
      </c>
      <c r="D6" t="s">
        <v>13</v>
      </c>
      <c r="E6">
        <f t="shared" si="0"/>
        <v>2.7941176470588216</v>
      </c>
      <c r="F6" t="s">
        <v>25</v>
      </c>
    </row>
    <row r="7" spans="1:6" x14ac:dyDescent="0.45">
      <c r="A7" t="s">
        <v>21</v>
      </c>
      <c r="B7">
        <v>0.1666666666666666</v>
      </c>
      <c r="C7">
        <v>-2.333333333333333</v>
      </c>
      <c r="D7" t="s">
        <v>13</v>
      </c>
      <c r="E7">
        <f t="shared" si="0"/>
        <v>3.3333333333333317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0.13836200276455229</v>
      </c>
      <c r="C9">
        <v>-0.3836200276455235</v>
      </c>
      <c r="D9" t="s">
        <v>13</v>
      </c>
      <c r="E9">
        <f>B9/0.1</f>
        <v>1.3836200276455228</v>
      </c>
      <c r="F9" t="s">
        <v>25</v>
      </c>
    </row>
    <row r="10" spans="1:6" x14ac:dyDescent="0.45">
      <c r="A10" t="s">
        <v>15</v>
      </c>
      <c r="B10">
        <v>0.1114012184508268</v>
      </c>
      <c r="C10">
        <v>-0.1140121845082684</v>
      </c>
      <c r="D10" t="s">
        <v>13</v>
      </c>
      <c r="E10">
        <f t="shared" ref="E10:E14" si="1">B10/0.1</f>
        <v>1.114012184508268</v>
      </c>
      <c r="F10" t="s">
        <v>25</v>
      </c>
    </row>
    <row r="11" spans="1:6" x14ac:dyDescent="0.45">
      <c r="A11" t="s">
        <v>16</v>
      </c>
      <c r="B11">
        <v>0.27806788511749347</v>
      </c>
      <c r="C11">
        <v>-1.780678851174935</v>
      </c>
      <c r="D11" t="s">
        <v>13</v>
      </c>
      <c r="E11">
        <f t="shared" si="1"/>
        <v>2.7806788511749345</v>
      </c>
      <c r="F11" t="s">
        <v>25</v>
      </c>
    </row>
    <row r="12" spans="1:6" x14ac:dyDescent="0.45">
      <c r="A12" t="s">
        <v>17</v>
      </c>
      <c r="B12">
        <v>2.6960784313725509E-2</v>
      </c>
      <c r="C12">
        <v>0.73039215686274495</v>
      </c>
      <c r="D12" t="s">
        <v>18</v>
      </c>
      <c r="E12">
        <f t="shared" si="1"/>
        <v>0.26960784313725505</v>
      </c>
      <c r="F12" t="s">
        <v>26</v>
      </c>
    </row>
    <row r="13" spans="1:6" x14ac:dyDescent="0.45">
      <c r="A13" t="s">
        <v>20</v>
      </c>
      <c r="B13">
        <v>0.1397058823529411</v>
      </c>
      <c r="C13">
        <v>-0.39705882352941119</v>
      </c>
      <c r="D13" t="s">
        <v>13</v>
      </c>
      <c r="E13">
        <f t="shared" si="1"/>
        <v>1.3970588235294108</v>
      </c>
      <c r="F13" t="s">
        <v>25</v>
      </c>
    </row>
    <row r="14" spans="1:6" x14ac:dyDescent="0.45">
      <c r="A14" t="s">
        <v>21</v>
      </c>
      <c r="B14">
        <v>0.1666666666666666</v>
      </c>
      <c r="C14">
        <v>-0.6666666666666663</v>
      </c>
      <c r="D14" t="s">
        <v>13</v>
      </c>
      <c r="E14">
        <f t="shared" si="1"/>
        <v>1.6666666666666659</v>
      </c>
      <c r="F14" t="s">
        <v>25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0.13836200276455229</v>
      </c>
      <c r="C16">
        <v>7.7586648236317668E-2</v>
      </c>
      <c r="D16" t="s">
        <v>14</v>
      </c>
      <c r="E16">
        <f>B16/0.15</f>
        <v>0.922413351763682</v>
      </c>
      <c r="F16" t="s">
        <v>26</v>
      </c>
    </row>
    <row r="17" spans="1:6" x14ac:dyDescent="0.45">
      <c r="A17" t="s">
        <v>15</v>
      </c>
      <c r="B17">
        <v>0.1114012184508268</v>
      </c>
      <c r="C17">
        <v>0.25732521032782102</v>
      </c>
      <c r="D17" t="s">
        <v>14</v>
      </c>
      <c r="E17">
        <f t="shared" ref="E17:E21" si="2">B17/0.15</f>
        <v>0.7426747896721787</v>
      </c>
      <c r="F17" t="s">
        <v>26</v>
      </c>
    </row>
    <row r="18" spans="1:6" x14ac:dyDescent="0.45">
      <c r="A18" t="s">
        <v>16</v>
      </c>
      <c r="B18">
        <v>0.27806788511749347</v>
      </c>
      <c r="C18">
        <v>-0.85378590078328997</v>
      </c>
      <c r="D18" t="s">
        <v>13</v>
      </c>
      <c r="E18">
        <f t="shared" si="2"/>
        <v>1.85378590078329</v>
      </c>
      <c r="F18" t="s">
        <v>25</v>
      </c>
    </row>
    <row r="19" spans="1:6" x14ac:dyDescent="0.45">
      <c r="A19" t="s">
        <v>17</v>
      </c>
      <c r="B19">
        <v>2.6960784313725509E-2</v>
      </c>
      <c r="C19">
        <v>0.82026143790849659</v>
      </c>
      <c r="D19" t="s">
        <v>19</v>
      </c>
      <c r="E19">
        <f t="shared" si="2"/>
        <v>0.17973856209150341</v>
      </c>
      <c r="F19" t="s">
        <v>26</v>
      </c>
    </row>
    <row r="20" spans="1:6" x14ac:dyDescent="0.45">
      <c r="A20" t="s">
        <v>20</v>
      </c>
      <c r="B20">
        <v>0.1397058823529411</v>
      </c>
      <c r="C20">
        <v>6.8627450980392468E-2</v>
      </c>
      <c r="D20" t="s">
        <v>14</v>
      </c>
      <c r="E20">
        <f t="shared" si="2"/>
        <v>0.93137254901960731</v>
      </c>
      <c r="F20" t="s">
        <v>26</v>
      </c>
    </row>
    <row r="21" spans="1:6" x14ac:dyDescent="0.45">
      <c r="A21" t="s">
        <v>21</v>
      </c>
      <c r="B21">
        <v>0.1666666666666666</v>
      </c>
      <c r="C21">
        <v>-0.1111111111111109</v>
      </c>
      <c r="D21" t="s">
        <v>13</v>
      </c>
      <c r="E21">
        <f t="shared" si="2"/>
        <v>1.1111111111111107</v>
      </c>
      <c r="F21" t="s">
        <v>25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0.13836200276455229</v>
      </c>
      <c r="C23">
        <v>0.30818998617723831</v>
      </c>
      <c r="D23" t="s">
        <v>14</v>
      </c>
      <c r="E23">
        <f>B23/0.2</f>
        <v>0.69181001382276142</v>
      </c>
      <c r="F23" t="s">
        <v>26</v>
      </c>
    </row>
    <row r="24" spans="1:6" x14ac:dyDescent="0.45">
      <c r="A24" t="s">
        <v>15</v>
      </c>
      <c r="B24">
        <v>0.1114012184508268</v>
      </c>
      <c r="C24">
        <v>0.44299390774586578</v>
      </c>
      <c r="D24" t="s">
        <v>14</v>
      </c>
      <c r="E24">
        <f t="shared" ref="E24:E28" si="3">B24/0.2</f>
        <v>0.557006092254134</v>
      </c>
      <c r="F24" t="s">
        <v>26</v>
      </c>
    </row>
    <row r="25" spans="1:6" x14ac:dyDescent="0.45">
      <c r="A25" t="s">
        <v>16</v>
      </c>
      <c r="B25">
        <v>0.27806788511749347</v>
      </c>
      <c r="C25">
        <v>-0.39033942558746731</v>
      </c>
      <c r="D25" t="s">
        <v>13</v>
      </c>
      <c r="E25">
        <f t="shared" si="3"/>
        <v>1.3903394255874673</v>
      </c>
      <c r="F25" t="s">
        <v>25</v>
      </c>
    </row>
    <row r="26" spans="1:6" x14ac:dyDescent="0.45">
      <c r="A26" t="s">
        <v>17</v>
      </c>
      <c r="B26">
        <v>2.6960784313725509E-2</v>
      </c>
      <c r="C26">
        <v>0.86519607843137247</v>
      </c>
      <c r="D26" t="s">
        <v>19</v>
      </c>
      <c r="E26">
        <f t="shared" si="3"/>
        <v>0.13480392156862753</v>
      </c>
      <c r="F26" t="s">
        <v>26</v>
      </c>
    </row>
    <row r="27" spans="1:6" x14ac:dyDescent="0.45">
      <c r="A27" t="s">
        <v>20</v>
      </c>
      <c r="B27">
        <v>0.1397058823529411</v>
      </c>
      <c r="C27">
        <v>0.30147058823529438</v>
      </c>
      <c r="D27" t="s">
        <v>14</v>
      </c>
      <c r="E27">
        <f t="shared" si="3"/>
        <v>0.6985294117647054</v>
      </c>
      <c r="F27" t="s">
        <v>26</v>
      </c>
    </row>
    <row r="28" spans="1:6" x14ac:dyDescent="0.45">
      <c r="A28" t="s">
        <v>21</v>
      </c>
      <c r="B28">
        <v>0.1666666666666666</v>
      </c>
      <c r="C28">
        <v>0.16666666666666691</v>
      </c>
      <c r="D28" t="s">
        <v>14</v>
      </c>
      <c r="E28">
        <f t="shared" si="3"/>
        <v>0.83333333333333293</v>
      </c>
      <c r="F28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8334-0AA7-4C71-B17B-4795A29E0C23}">
  <dimension ref="A1:F28"/>
  <sheetViews>
    <sheetView topLeftCell="A9" workbookViewId="0">
      <selection sqref="A1:F28"/>
    </sheetView>
  </sheetViews>
  <sheetFormatPr defaultRowHeight="14.25" x14ac:dyDescent="0.45"/>
  <cols>
    <col min="1" max="1" width="25.73046875" bestFit="1" customWidth="1"/>
    <col min="2" max="2" width="17.1328125" bestFit="1" customWidth="1"/>
    <col min="3" max="3" width="13.9296875" bestFit="1" customWidth="1"/>
    <col min="4" max="4" width="14.59765625" bestFit="1" customWidth="1"/>
    <col min="5" max="5" width="11.73046875" bestFit="1" customWidth="1"/>
    <col min="6" max="6" width="11.46484375" bestFit="1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9.6690498154981541E-2</v>
      </c>
      <c r="C2">
        <v>-0.93380996309963082</v>
      </c>
      <c r="D2" t="s">
        <v>13</v>
      </c>
      <c r="E2">
        <f>B2/0.05</f>
        <v>1.9338099630996308</v>
      </c>
      <c r="F2" t="s">
        <v>25</v>
      </c>
    </row>
    <row r="3" spans="1:6" x14ac:dyDescent="0.45">
      <c r="A3" t="s">
        <v>15</v>
      </c>
      <c r="B3">
        <v>8.8277036616519977E-2</v>
      </c>
      <c r="C3">
        <v>-0.76554073233039954</v>
      </c>
      <c r="D3" t="s">
        <v>13</v>
      </c>
      <c r="E3">
        <f t="shared" ref="E3:E7" si="0">B3/0.05</f>
        <v>1.7655407323303995</v>
      </c>
      <c r="F3" t="s">
        <v>25</v>
      </c>
    </row>
    <row r="4" spans="1:6" x14ac:dyDescent="0.45">
      <c r="A4" t="s">
        <v>16</v>
      </c>
      <c r="B4">
        <v>4.9815498154981541E-2</v>
      </c>
      <c r="C4">
        <v>3.6900369003691762E-3</v>
      </c>
      <c r="D4" t="s">
        <v>14</v>
      </c>
      <c r="E4">
        <f t="shared" si="0"/>
        <v>0.99630996309963082</v>
      </c>
      <c r="F4" t="s">
        <v>26</v>
      </c>
    </row>
    <row r="5" spans="1:6" x14ac:dyDescent="0.45">
      <c r="A5" t="s">
        <v>17</v>
      </c>
      <c r="B5">
        <v>8.4134615384615641E-3</v>
      </c>
      <c r="C5">
        <v>0.83173076923076872</v>
      </c>
      <c r="D5" t="s">
        <v>19</v>
      </c>
      <c r="E5">
        <f t="shared" si="0"/>
        <v>0.16826923076923128</v>
      </c>
      <c r="F5" t="s">
        <v>26</v>
      </c>
    </row>
    <row r="6" spans="1:6" x14ac:dyDescent="0.45">
      <c r="A6" t="s">
        <v>20</v>
      </c>
      <c r="B6">
        <v>4.6875E-2</v>
      </c>
      <c r="C6">
        <v>6.25E-2</v>
      </c>
      <c r="D6" t="s">
        <v>14</v>
      </c>
      <c r="E6">
        <f t="shared" si="0"/>
        <v>0.9375</v>
      </c>
      <c r="F6" t="s">
        <v>26</v>
      </c>
    </row>
    <row r="7" spans="1:6" x14ac:dyDescent="0.45">
      <c r="A7" t="s">
        <v>21</v>
      </c>
      <c r="B7">
        <v>3.8461538461538443E-2</v>
      </c>
      <c r="C7">
        <v>0.23076923076923131</v>
      </c>
      <c r="D7" t="s">
        <v>14</v>
      </c>
      <c r="E7">
        <f t="shared" si="0"/>
        <v>0.76923076923076883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9.6690498154981541E-2</v>
      </c>
      <c r="C9">
        <v>3.3095018450184588E-2</v>
      </c>
      <c r="D9" t="s">
        <v>14</v>
      </c>
      <c r="E9">
        <f>B9/0.1</f>
        <v>0.96690498154981541</v>
      </c>
      <c r="F9" t="s">
        <v>26</v>
      </c>
    </row>
    <row r="10" spans="1:6" x14ac:dyDescent="0.45">
      <c r="A10" t="s">
        <v>15</v>
      </c>
      <c r="B10">
        <v>8.8277036616519977E-2</v>
      </c>
      <c r="C10">
        <v>0.1172296338348002</v>
      </c>
      <c r="D10" t="s">
        <v>14</v>
      </c>
      <c r="E10">
        <f t="shared" ref="E10:E14" si="1">B10/0.1</f>
        <v>0.88277036616519977</v>
      </c>
      <c r="F10" t="s">
        <v>26</v>
      </c>
    </row>
    <row r="11" spans="1:6" x14ac:dyDescent="0.45">
      <c r="A11" t="s">
        <v>16</v>
      </c>
      <c r="B11">
        <v>4.9815498154981541E-2</v>
      </c>
      <c r="C11">
        <v>0.50184501845018459</v>
      </c>
      <c r="D11" t="s">
        <v>18</v>
      </c>
      <c r="E11">
        <f t="shared" si="1"/>
        <v>0.49815498154981541</v>
      </c>
      <c r="F11" t="s">
        <v>26</v>
      </c>
    </row>
    <row r="12" spans="1:6" x14ac:dyDescent="0.45">
      <c r="A12" t="s">
        <v>17</v>
      </c>
      <c r="B12">
        <v>8.4134615384615641E-3</v>
      </c>
      <c r="C12">
        <v>0.91586538461538436</v>
      </c>
      <c r="D12" t="s">
        <v>19</v>
      </c>
      <c r="E12">
        <f t="shared" si="1"/>
        <v>8.4134615384615641E-2</v>
      </c>
      <c r="F12" t="s">
        <v>26</v>
      </c>
    </row>
    <row r="13" spans="1:6" x14ac:dyDescent="0.45">
      <c r="A13" t="s">
        <v>20</v>
      </c>
      <c r="B13">
        <v>4.6875E-2</v>
      </c>
      <c r="C13">
        <v>0.53125</v>
      </c>
      <c r="D13" t="s">
        <v>18</v>
      </c>
      <c r="E13">
        <f t="shared" si="1"/>
        <v>0.46875</v>
      </c>
      <c r="F13" t="s">
        <v>26</v>
      </c>
    </row>
    <row r="14" spans="1:6" x14ac:dyDescent="0.45">
      <c r="A14" t="s">
        <v>21</v>
      </c>
      <c r="B14">
        <v>3.8461538461538443E-2</v>
      </c>
      <c r="C14">
        <v>0.61538461538461564</v>
      </c>
      <c r="D14" t="s">
        <v>18</v>
      </c>
      <c r="E14">
        <f t="shared" si="1"/>
        <v>0.38461538461538441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9.6690498154981541E-2</v>
      </c>
      <c r="C16">
        <v>0.35539667896678973</v>
      </c>
      <c r="D16" t="s">
        <v>14</v>
      </c>
      <c r="E16">
        <f>B16/0.15</f>
        <v>0.64460332103321027</v>
      </c>
      <c r="F16" t="s">
        <v>26</v>
      </c>
    </row>
    <row r="17" spans="1:6" x14ac:dyDescent="0.45">
      <c r="A17" t="s">
        <v>15</v>
      </c>
      <c r="B17">
        <v>8.8277036616519977E-2</v>
      </c>
      <c r="C17">
        <v>0.41148642255653339</v>
      </c>
      <c r="D17" t="s">
        <v>14</v>
      </c>
      <c r="E17">
        <f t="shared" ref="E17:E21" si="2">B17/0.15</f>
        <v>0.58851357744346655</v>
      </c>
      <c r="F17" t="s">
        <v>26</v>
      </c>
    </row>
    <row r="18" spans="1:6" x14ac:dyDescent="0.45">
      <c r="A18" t="s">
        <v>16</v>
      </c>
      <c r="B18">
        <v>4.9815498154981541E-2</v>
      </c>
      <c r="C18">
        <v>0.66789667896678973</v>
      </c>
      <c r="D18" t="s">
        <v>18</v>
      </c>
      <c r="E18">
        <f t="shared" si="2"/>
        <v>0.33210332103321027</v>
      </c>
      <c r="F18" t="s">
        <v>26</v>
      </c>
    </row>
    <row r="19" spans="1:6" x14ac:dyDescent="0.45">
      <c r="A19" t="s">
        <v>17</v>
      </c>
      <c r="B19">
        <v>8.4134615384615641E-3</v>
      </c>
      <c r="C19">
        <v>0.94391025641025628</v>
      </c>
      <c r="D19" t="s">
        <v>19</v>
      </c>
      <c r="E19">
        <f t="shared" si="2"/>
        <v>5.6089743589743765E-2</v>
      </c>
      <c r="F19" t="s">
        <v>26</v>
      </c>
    </row>
    <row r="20" spans="1:6" x14ac:dyDescent="0.45">
      <c r="A20" t="s">
        <v>20</v>
      </c>
      <c r="B20">
        <v>4.6875E-2</v>
      </c>
      <c r="C20">
        <v>0.6875</v>
      </c>
      <c r="D20" t="s">
        <v>18</v>
      </c>
      <c r="E20">
        <f t="shared" si="2"/>
        <v>0.3125</v>
      </c>
      <c r="F20" t="s">
        <v>26</v>
      </c>
    </row>
    <row r="21" spans="1:6" x14ac:dyDescent="0.45">
      <c r="A21" t="s">
        <v>21</v>
      </c>
      <c r="B21">
        <v>3.8461538461538443E-2</v>
      </c>
      <c r="C21">
        <v>0.74358974358974372</v>
      </c>
      <c r="D21" t="s">
        <v>18</v>
      </c>
      <c r="E21">
        <f t="shared" si="2"/>
        <v>0.25641025641025628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9.6690498154981541E-2</v>
      </c>
      <c r="C23">
        <v>0.51654750922509229</v>
      </c>
      <c r="D23" t="s">
        <v>18</v>
      </c>
      <c r="E23">
        <f>B23/0.2</f>
        <v>0.48345249077490771</v>
      </c>
      <c r="F23" t="s">
        <v>26</v>
      </c>
    </row>
    <row r="24" spans="1:6" x14ac:dyDescent="0.45">
      <c r="A24" t="s">
        <v>15</v>
      </c>
      <c r="B24">
        <v>8.8277036616519977E-2</v>
      </c>
      <c r="C24">
        <v>0.55861481691740011</v>
      </c>
      <c r="D24" t="s">
        <v>18</v>
      </c>
      <c r="E24">
        <f t="shared" ref="E24:E28" si="3">B24/0.2</f>
        <v>0.44138518308259989</v>
      </c>
      <c r="F24" t="s">
        <v>26</v>
      </c>
    </row>
    <row r="25" spans="1:6" x14ac:dyDescent="0.45">
      <c r="A25" t="s">
        <v>16</v>
      </c>
      <c r="B25">
        <v>4.9815498154981541E-2</v>
      </c>
      <c r="C25">
        <v>0.75092250922509229</v>
      </c>
      <c r="D25" t="s">
        <v>19</v>
      </c>
      <c r="E25">
        <f t="shared" si="3"/>
        <v>0.24907749077490771</v>
      </c>
      <c r="F25" t="s">
        <v>26</v>
      </c>
    </row>
    <row r="26" spans="1:6" x14ac:dyDescent="0.45">
      <c r="A26" t="s">
        <v>17</v>
      </c>
      <c r="B26">
        <v>8.4134615384615641E-3</v>
      </c>
      <c r="C26">
        <v>0.95793269230769218</v>
      </c>
      <c r="D26" t="s">
        <v>19</v>
      </c>
      <c r="E26">
        <f t="shared" si="3"/>
        <v>4.206730769230782E-2</v>
      </c>
      <c r="F26" t="s">
        <v>26</v>
      </c>
    </row>
    <row r="27" spans="1:6" x14ac:dyDescent="0.45">
      <c r="A27" t="s">
        <v>20</v>
      </c>
      <c r="B27">
        <v>4.6875E-2</v>
      </c>
      <c r="C27">
        <v>0.765625</v>
      </c>
      <c r="D27" t="s">
        <v>19</v>
      </c>
      <c r="E27">
        <f t="shared" si="3"/>
        <v>0.234375</v>
      </c>
      <c r="F27" t="s">
        <v>26</v>
      </c>
    </row>
    <row r="28" spans="1:6" x14ac:dyDescent="0.45">
      <c r="A28" t="s">
        <v>21</v>
      </c>
      <c r="B28">
        <v>3.8461538461538443E-2</v>
      </c>
      <c r="C28">
        <v>0.80769230769230782</v>
      </c>
      <c r="D28" t="s">
        <v>19</v>
      </c>
      <c r="E28">
        <f t="shared" si="3"/>
        <v>0.19230769230769221</v>
      </c>
      <c r="F28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6B28-47BB-4B17-8F41-6C0F751F3D86}">
  <dimension ref="A1:F28"/>
  <sheetViews>
    <sheetView topLeftCell="A9" workbookViewId="0">
      <selection sqref="A1:F28"/>
    </sheetView>
  </sheetViews>
  <sheetFormatPr defaultRowHeight="14.25" x14ac:dyDescent="0.45"/>
  <cols>
    <col min="1" max="1" width="25.73046875" bestFit="1" customWidth="1"/>
    <col min="2" max="2" width="17.1328125" bestFit="1" customWidth="1"/>
    <col min="3" max="3" width="13.9296875" bestFit="1" customWidth="1"/>
    <col min="4" max="4" width="14.59765625" bestFit="1" customWidth="1"/>
    <col min="5" max="5" width="11.3984375" customWidth="1"/>
    <col min="6" max="6" width="11.46484375" bestFit="1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0.1751786216596343</v>
      </c>
      <c r="C2">
        <v>-2.503572433192685</v>
      </c>
      <c r="D2" t="s">
        <v>13</v>
      </c>
      <c r="E2">
        <f>B2/0.05</f>
        <v>3.5035724331926859</v>
      </c>
      <c r="F2" t="s">
        <v>25</v>
      </c>
    </row>
    <row r="3" spans="1:6" x14ac:dyDescent="0.45">
      <c r="A3" t="s">
        <v>15</v>
      </c>
      <c r="B3">
        <v>0.2031786216596343</v>
      </c>
      <c r="C3">
        <v>-3.0635724331926859</v>
      </c>
      <c r="D3" t="s">
        <v>13</v>
      </c>
      <c r="E3">
        <f t="shared" ref="E3:E7" si="0">B3/0.05</f>
        <v>4.0635724331926859</v>
      </c>
      <c r="F3" t="s">
        <v>25</v>
      </c>
    </row>
    <row r="4" spans="1:6" x14ac:dyDescent="0.45">
      <c r="A4" t="s">
        <v>16</v>
      </c>
      <c r="B4">
        <v>0.26491775209441693</v>
      </c>
      <c r="C4">
        <v>-4.2983550418883381</v>
      </c>
      <c r="D4" t="s">
        <v>13</v>
      </c>
      <c r="E4">
        <f t="shared" si="0"/>
        <v>5.2983550418883381</v>
      </c>
      <c r="F4" t="s">
        <v>25</v>
      </c>
    </row>
    <row r="5" spans="1:6" x14ac:dyDescent="0.45">
      <c r="A5" t="s">
        <v>17</v>
      </c>
      <c r="B5">
        <v>2.8000000000000021E-2</v>
      </c>
      <c r="C5">
        <v>0.4399999999999995</v>
      </c>
      <c r="D5" t="s">
        <v>14</v>
      </c>
      <c r="E5">
        <f t="shared" si="0"/>
        <v>0.56000000000000039</v>
      </c>
      <c r="F5" t="s">
        <v>26</v>
      </c>
    </row>
    <row r="6" spans="1:6" x14ac:dyDescent="0.45">
      <c r="A6" t="s">
        <v>20</v>
      </c>
      <c r="B6">
        <v>8.9739130434782655E-2</v>
      </c>
      <c r="C6">
        <v>-0.79478260869565309</v>
      </c>
      <c r="D6" t="s">
        <v>13</v>
      </c>
      <c r="E6">
        <f t="shared" si="0"/>
        <v>1.7947826086956531</v>
      </c>
      <c r="F6" t="s">
        <v>25</v>
      </c>
    </row>
    <row r="7" spans="1:6" x14ac:dyDescent="0.45">
      <c r="A7" t="s">
        <v>21</v>
      </c>
      <c r="B7">
        <v>6.173913043478263E-2</v>
      </c>
      <c r="C7">
        <v>-0.23478260869565259</v>
      </c>
      <c r="D7" t="s">
        <v>13</v>
      </c>
      <c r="E7">
        <f t="shared" si="0"/>
        <v>1.2347826086956526</v>
      </c>
      <c r="F7" t="s">
        <v>25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0.1751786216596343</v>
      </c>
      <c r="C9">
        <v>-0.7517862165963427</v>
      </c>
      <c r="D9" t="s">
        <v>13</v>
      </c>
      <c r="E9">
        <f>B9/0.1</f>
        <v>1.7517862165963429</v>
      </c>
      <c r="F9" t="s">
        <v>25</v>
      </c>
    </row>
    <row r="10" spans="1:6" x14ac:dyDescent="0.45">
      <c r="A10" t="s">
        <v>15</v>
      </c>
      <c r="B10">
        <v>0.2031786216596343</v>
      </c>
      <c r="C10">
        <v>-1.031786216596343</v>
      </c>
      <c r="D10" t="s">
        <v>13</v>
      </c>
      <c r="E10">
        <f t="shared" ref="E10:E14" si="1">B10/0.1</f>
        <v>2.031786216596343</v>
      </c>
      <c r="F10" t="s">
        <v>25</v>
      </c>
    </row>
    <row r="11" spans="1:6" x14ac:dyDescent="0.45">
      <c r="A11" t="s">
        <v>16</v>
      </c>
      <c r="B11">
        <v>0.26491775209441693</v>
      </c>
      <c r="C11">
        <v>-1.649177520944169</v>
      </c>
      <c r="D11" t="s">
        <v>13</v>
      </c>
      <c r="E11">
        <f t="shared" si="1"/>
        <v>2.649177520944169</v>
      </c>
      <c r="F11" t="s">
        <v>25</v>
      </c>
    </row>
    <row r="12" spans="1:6" x14ac:dyDescent="0.45">
      <c r="A12" t="s">
        <v>17</v>
      </c>
      <c r="B12">
        <v>2.8000000000000021E-2</v>
      </c>
      <c r="C12">
        <v>0.71999999999999975</v>
      </c>
      <c r="D12" t="s">
        <v>18</v>
      </c>
      <c r="E12">
        <f t="shared" si="1"/>
        <v>0.28000000000000019</v>
      </c>
      <c r="F12" t="s">
        <v>26</v>
      </c>
    </row>
    <row r="13" spans="1:6" x14ac:dyDescent="0.45">
      <c r="A13" t="s">
        <v>20</v>
      </c>
      <c r="B13">
        <v>8.9739130434782655E-2</v>
      </c>
      <c r="C13">
        <v>0.1026086956521735</v>
      </c>
      <c r="D13" t="s">
        <v>14</v>
      </c>
      <c r="E13">
        <f t="shared" si="1"/>
        <v>0.89739130434782655</v>
      </c>
      <c r="F13" t="s">
        <v>26</v>
      </c>
    </row>
    <row r="14" spans="1:6" x14ac:dyDescent="0.45">
      <c r="A14" t="s">
        <v>21</v>
      </c>
      <c r="B14">
        <v>6.173913043478263E-2</v>
      </c>
      <c r="C14">
        <v>0.3826086956521737</v>
      </c>
      <c r="D14" t="s">
        <v>14</v>
      </c>
      <c r="E14">
        <f t="shared" si="1"/>
        <v>0.6173913043478263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0.1751786216596343</v>
      </c>
      <c r="C16">
        <v>-0.16785747773089521</v>
      </c>
      <c r="D16" t="s">
        <v>13</v>
      </c>
      <c r="E16">
        <f>B16/0.15</f>
        <v>1.1678574777308954</v>
      </c>
      <c r="F16" t="s">
        <v>25</v>
      </c>
    </row>
    <row r="17" spans="1:6" x14ac:dyDescent="0.45">
      <c r="A17" t="s">
        <v>15</v>
      </c>
      <c r="B17">
        <v>0.2031786216596343</v>
      </c>
      <c r="C17">
        <v>-0.35452414439756202</v>
      </c>
      <c r="D17" t="s">
        <v>13</v>
      </c>
      <c r="E17">
        <f t="shared" ref="E17:E21" si="2">B17/0.15</f>
        <v>1.354524144397562</v>
      </c>
      <c r="F17" t="s">
        <v>25</v>
      </c>
    </row>
    <row r="18" spans="1:6" x14ac:dyDescent="0.45">
      <c r="A18" t="s">
        <v>16</v>
      </c>
      <c r="B18">
        <v>0.26491775209441693</v>
      </c>
      <c r="C18">
        <v>-0.76611834729611283</v>
      </c>
      <c r="D18" t="s">
        <v>13</v>
      </c>
      <c r="E18">
        <f t="shared" si="2"/>
        <v>1.7661183472961128</v>
      </c>
      <c r="F18" t="s">
        <v>25</v>
      </c>
    </row>
    <row r="19" spans="1:6" x14ac:dyDescent="0.45">
      <c r="A19" t="s">
        <v>17</v>
      </c>
      <c r="B19">
        <v>2.8000000000000021E-2</v>
      </c>
      <c r="C19">
        <v>0.81333333333333313</v>
      </c>
      <c r="D19" t="s">
        <v>19</v>
      </c>
      <c r="E19">
        <f t="shared" si="2"/>
        <v>0.18666666666666681</v>
      </c>
      <c r="F19" t="s">
        <v>26</v>
      </c>
    </row>
    <row r="20" spans="1:6" x14ac:dyDescent="0.45">
      <c r="A20" t="s">
        <v>20</v>
      </c>
      <c r="B20">
        <v>8.9739130434782655E-2</v>
      </c>
      <c r="C20">
        <v>0.40173913043478232</v>
      </c>
      <c r="D20" t="s">
        <v>14</v>
      </c>
      <c r="E20">
        <f t="shared" si="2"/>
        <v>0.59826086956521773</v>
      </c>
      <c r="F20" t="s">
        <v>26</v>
      </c>
    </row>
    <row r="21" spans="1:6" x14ac:dyDescent="0.45">
      <c r="A21" t="s">
        <v>21</v>
      </c>
      <c r="B21">
        <v>6.173913043478263E-2</v>
      </c>
      <c r="C21">
        <v>0.58840579710144914</v>
      </c>
      <c r="D21" t="s">
        <v>18</v>
      </c>
      <c r="E21">
        <f t="shared" si="2"/>
        <v>0.41159420289855086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0.1751786216596343</v>
      </c>
      <c r="C23">
        <v>0.12410689170182861</v>
      </c>
      <c r="D23" t="s">
        <v>14</v>
      </c>
      <c r="E23">
        <f>B23/0.2</f>
        <v>0.87589310829817146</v>
      </c>
      <c r="F23" t="s">
        <v>26</v>
      </c>
    </row>
    <row r="24" spans="1:6" x14ac:dyDescent="0.45">
      <c r="A24" t="s">
        <v>15</v>
      </c>
      <c r="B24">
        <v>0.2031786216596343</v>
      </c>
      <c r="C24">
        <v>-1.589310829817148E-2</v>
      </c>
      <c r="D24" t="s">
        <v>13</v>
      </c>
      <c r="E24">
        <f t="shared" ref="E24:E28" si="3">B24/0.2</f>
        <v>1.0158931082981715</v>
      </c>
      <c r="F24" t="s">
        <v>25</v>
      </c>
    </row>
    <row r="25" spans="1:6" x14ac:dyDescent="0.45">
      <c r="A25" t="s">
        <v>16</v>
      </c>
      <c r="B25">
        <v>0.26491775209441693</v>
      </c>
      <c r="C25">
        <v>-0.32458876047208451</v>
      </c>
      <c r="D25" t="s">
        <v>13</v>
      </c>
      <c r="E25">
        <f t="shared" si="3"/>
        <v>1.3245887604720845</v>
      </c>
      <c r="F25" t="s">
        <v>25</v>
      </c>
    </row>
    <row r="26" spans="1:6" x14ac:dyDescent="0.45">
      <c r="A26" t="s">
        <v>17</v>
      </c>
      <c r="B26">
        <v>2.8000000000000021E-2</v>
      </c>
      <c r="C26">
        <v>0.85999999999999988</v>
      </c>
      <c r="D26" t="s">
        <v>19</v>
      </c>
      <c r="E26">
        <f t="shared" si="3"/>
        <v>0.1400000000000001</v>
      </c>
      <c r="F26" t="s">
        <v>26</v>
      </c>
    </row>
    <row r="27" spans="1:6" x14ac:dyDescent="0.45">
      <c r="A27" t="s">
        <v>20</v>
      </c>
      <c r="B27">
        <v>8.9739130434782655E-2</v>
      </c>
      <c r="C27">
        <v>0.55130434782608673</v>
      </c>
      <c r="D27" t="s">
        <v>18</v>
      </c>
      <c r="E27">
        <f t="shared" si="3"/>
        <v>0.44869565217391327</v>
      </c>
      <c r="F27" t="s">
        <v>26</v>
      </c>
    </row>
    <row r="28" spans="1:6" x14ac:dyDescent="0.45">
      <c r="A28" t="s">
        <v>21</v>
      </c>
      <c r="B28">
        <v>6.173913043478263E-2</v>
      </c>
      <c r="C28">
        <v>0.69130434782608685</v>
      </c>
      <c r="D28" t="s">
        <v>18</v>
      </c>
      <c r="E28">
        <f t="shared" si="3"/>
        <v>0.30869565217391315</v>
      </c>
      <c r="F28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868B-3191-4CD4-B383-A69E8F286D60}">
  <dimension ref="A1:G28"/>
  <sheetViews>
    <sheetView tabSelected="1" workbookViewId="0">
      <selection sqref="A1:G28"/>
    </sheetView>
  </sheetViews>
  <sheetFormatPr defaultRowHeight="14.25" x14ac:dyDescent="0.45"/>
  <cols>
    <col min="1" max="1" width="25.73046875" bestFit="1" customWidth="1"/>
    <col min="2" max="2" width="21.265625" customWidth="1"/>
    <col min="3" max="3" width="17.1328125" bestFit="1" customWidth="1"/>
    <col min="4" max="4" width="13.9296875" bestFit="1" customWidth="1"/>
    <col min="5" max="5" width="14.59765625" bestFit="1" customWidth="1"/>
    <col min="6" max="6" width="11.73046875" bestFit="1" customWidth="1"/>
    <col min="7" max="7" width="13.1328125" customWidth="1"/>
  </cols>
  <sheetData>
    <row r="1" spans="1:7" x14ac:dyDescent="0.45">
      <c r="A1" s="1" t="s">
        <v>22</v>
      </c>
      <c r="B1" s="1" t="s">
        <v>27</v>
      </c>
      <c r="C1" s="1" t="s">
        <v>0</v>
      </c>
      <c r="D1" s="1" t="s">
        <v>1</v>
      </c>
      <c r="E1" s="1" t="s">
        <v>2</v>
      </c>
      <c r="F1" s="1" t="s">
        <v>23</v>
      </c>
      <c r="G1" s="1" t="s">
        <v>24</v>
      </c>
    </row>
    <row r="2" spans="1:7" x14ac:dyDescent="0.45">
      <c r="A2" t="s">
        <v>12</v>
      </c>
      <c r="B2" s="2">
        <v>0.05</v>
      </c>
      <c r="C2">
        <v>0.1138365194462755</v>
      </c>
      <c r="D2">
        <v>-1.2767303889255099</v>
      </c>
      <c r="E2" t="s">
        <v>13</v>
      </c>
      <c r="F2">
        <f>C2/0.05</f>
        <v>2.2767303889255097</v>
      </c>
      <c r="G2" t="s">
        <v>25</v>
      </c>
    </row>
    <row r="3" spans="1:7" x14ac:dyDescent="0.45">
      <c r="A3" t="s">
        <v>15</v>
      </c>
      <c r="B3" s="3"/>
      <c r="C3">
        <v>9.8869778869778879E-2</v>
      </c>
      <c r="D3">
        <v>-0.97739557739557759</v>
      </c>
      <c r="E3" t="s">
        <v>13</v>
      </c>
      <c r="F3">
        <f t="shared" ref="F3:F7" si="0">C3/0.05</f>
        <v>1.9773955773955776</v>
      </c>
      <c r="G3" t="s">
        <v>25</v>
      </c>
    </row>
    <row r="4" spans="1:7" x14ac:dyDescent="0.45">
      <c r="A4" t="s">
        <v>16</v>
      </c>
      <c r="B4" s="3"/>
      <c r="C4">
        <v>0.14432432432432429</v>
      </c>
      <c r="D4">
        <v>-1.8864864864864861</v>
      </c>
      <c r="E4" t="s">
        <v>13</v>
      </c>
      <c r="F4">
        <f t="shared" si="0"/>
        <v>2.8864864864864859</v>
      </c>
      <c r="G4" t="s">
        <v>25</v>
      </c>
    </row>
    <row r="5" spans="1:7" x14ac:dyDescent="0.45">
      <c r="A5" t="s">
        <v>17</v>
      </c>
      <c r="B5" s="3"/>
      <c r="C5">
        <v>1.496674057649661E-2</v>
      </c>
      <c r="D5">
        <v>0.70066518847006787</v>
      </c>
      <c r="E5" t="s">
        <v>18</v>
      </c>
      <c r="F5">
        <f t="shared" si="0"/>
        <v>0.29933481152993219</v>
      </c>
      <c r="G5" t="s">
        <v>26</v>
      </c>
    </row>
    <row r="6" spans="1:7" x14ac:dyDescent="0.45">
      <c r="A6" t="s">
        <v>20</v>
      </c>
      <c r="B6" s="3"/>
      <c r="C6">
        <v>3.0487804878048811E-2</v>
      </c>
      <c r="D6">
        <v>0.39024390243902379</v>
      </c>
      <c r="E6" t="s">
        <v>14</v>
      </c>
      <c r="F6">
        <f t="shared" si="0"/>
        <v>0.60975609756097615</v>
      </c>
      <c r="G6" t="s">
        <v>26</v>
      </c>
    </row>
    <row r="7" spans="1:7" x14ac:dyDescent="0.45">
      <c r="A7" t="s">
        <v>21</v>
      </c>
      <c r="B7" s="4"/>
      <c r="C7">
        <v>4.5454545454545407E-2</v>
      </c>
      <c r="D7">
        <v>9.0909090909091717E-2</v>
      </c>
      <c r="E7" t="s">
        <v>14</v>
      </c>
      <c r="F7">
        <f t="shared" si="0"/>
        <v>0.90909090909090806</v>
      </c>
      <c r="G7" t="s">
        <v>26</v>
      </c>
    </row>
    <row r="8" spans="1:7" x14ac:dyDescent="0.45">
      <c r="A8" s="1" t="s">
        <v>22</v>
      </c>
      <c r="B8" s="1"/>
      <c r="C8" s="1" t="s">
        <v>3</v>
      </c>
      <c r="D8" s="1" t="s">
        <v>4</v>
      </c>
      <c r="E8" s="1" t="s">
        <v>5</v>
      </c>
      <c r="F8" s="1" t="s">
        <v>23</v>
      </c>
      <c r="G8" s="1" t="s">
        <v>24</v>
      </c>
    </row>
    <row r="9" spans="1:7" x14ac:dyDescent="0.45">
      <c r="A9" t="s">
        <v>12</v>
      </c>
      <c r="B9" s="2">
        <v>0.1</v>
      </c>
      <c r="C9">
        <v>0.1138365194462755</v>
      </c>
      <c r="D9">
        <v>-0.13836519446275489</v>
      </c>
      <c r="E9" t="s">
        <v>13</v>
      </c>
      <c r="F9">
        <f>C9/0.1</f>
        <v>1.1383651944627549</v>
      </c>
      <c r="G9" t="s">
        <v>25</v>
      </c>
    </row>
    <row r="10" spans="1:7" x14ac:dyDescent="0.45">
      <c r="A10" t="s">
        <v>15</v>
      </c>
      <c r="B10" s="3"/>
      <c r="C10">
        <v>9.8869778869778879E-2</v>
      </c>
      <c r="D10">
        <v>1.130221130221121E-2</v>
      </c>
      <c r="E10" t="s">
        <v>14</v>
      </c>
      <c r="F10">
        <f t="shared" ref="F10:F14" si="1">C10/0.1</f>
        <v>0.98869778869778879</v>
      </c>
      <c r="G10" t="s">
        <v>26</v>
      </c>
    </row>
    <row r="11" spans="1:7" x14ac:dyDescent="0.45">
      <c r="A11" t="s">
        <v>16</v>
      </c>
      <c r="B11" s="3"/>
      <c r="C11">
        <v>0.14432432432432429</v>
      </c>
      <c r="D11">
        <v>-0.44324324324324288</v>
      </c>
      <c r="E11" t="s">
        <v>13</v>
      </c>
      <c r="F11">
        <f t="shared" si="1"/>
        <v>1.4432432432432429</v>
      </c>
      <c r="G11" t="s">
        <v>25</v>
      </c>
    </row>
    <row r="12" spans="1:7" x14ac:dyDescent="0.45">
      <c r="A12" t="s">
        <v>17</v>
      </c>
      <c r="B12" s="3"/>
      <c r="C12">
        <v>1.496674057649661E-2</v>
      </c>
      <c r="D12">
        <v>0.85033259423503393</v>
      </c>
      <c r="E12" t="s">
        <v>19</v>
      </c>
      <c r="F12">
        <f t="shared" si="1"/>
        <v>0.14966740576496609</v>
      </c>
      <c r="G12" t="s">
        <v>26</v>
      </c>
    </row>
    <row r="13" spans="1:7" x14ac:dyDescent="0.45">
      <c r="A13" t="s">
        <v>20</v>
      </c>
      <c r="B13" s="3"/>
      <c r="C13">
        <v>3.0487804878048811E-2</v>
      </c>
      <c r="D13">
        <v>0.69512195121951192</v>
      </c>
      <c r="E13" t="s">
        <v>18</v>
      </c>
      <c r="F13">
        <f t="shared" si="1"/>
        <v>0.30487804878048808</v>
      </c>
      <c r="G13" t="s">
        <v>26</v>
      </c>
    </row>
    <row r="14" spans="1:7" x14ac:dyDescent="0.45">
      <c r="A14" t="s">
        <v>21</v>
      </c>
      <c r="B14" s="4"/>
      <c r="C14">
        <v>4.5454545454545407E-2</v>
      </c>
      <c r="D14">
        <v>0.54545454545454586</v>
      </c>
      <c r="E14" t="s">
        <v>18</v>
      </c>
      <c r="F14">
        <f t="shared" si="1"/>
        <v>0.45454545454545403</v>
      </c>
      <c r="G14" t="s">
        <v>26</v>
      </c>
    </row>
    <row r="15" spans="1:7" x14ac:dyDescent="0.45">
      <c r="A15" s="1" t="s">
        <v>22</v>
      </c>
      <c r="B15" s="1"/>
      <c r="C15" s="1" t="s">
        <v>6</v>
      </c>
      <c r="D15" s="1" t="s">
        <v>7</v>
      </c>
      <c r="E15" s="1" t="s">
        <v>8</v>
      </c>
      <c r="F15" s="1" t="s">
        <v>23</v>
      </c>
      <c r="G15" s="1" t="s">
        <v>24</v>
      </c>
    </row>
    <row r="16" spans="1:7" x14ac:dyDescent="0.45">
      <c r="A16" t="s">
        <v>12</v>
      </c>
      <c r="B16" s="2">
        <v>0.15</v>
      </c>
      <c r="C16">
        <v>0.1138365194462755</v>
      </c>
      <c r="D16">
        <v>0.2410898703581634</v>
      </c>
      <c r="E16" t="s">
        <v>14</v>
      </c>
      <c r="F16">
        <f>C16/0.15</f>
        <v>0.75891012964183668</v>
      </c>
      <c r="G16" t="s">
        <v>26</v>
      </c>
    </row>
    <row r="17" spans="1:7" x14ac:dyDescent="0.45">
      <c r="A17" t="s">
        <v>15</v>
      </c>
      <c r="B17" s="3"/>
      <c r="C17">
        <v>9.8869778869778879E-2</v>
      </c>
      <c r="D17">
        <v>0.34086814086814082</v>
      </c>
      <c r="E17" t="s">
        <v>14</v>
      </c>
      <c r="F17">
        <f t="shared" ref="F17:F21" si="2">C17/0.15</f>
        <v>0.65913185913185923</v>
      </c>
      <c r="G17" t="s">
        <v>26</v>
      </c>
    </row>
    <row r="18" spans="1:7" x14ac:dyDescent="0.45">
      <c r="A18" t="s">
        <v>16</v>
      </c>
      <c r="B18" s="3"/>
      <c r="C18">
        <v>0.14432432432432429</v>
      </c>
      <c r="D18">
        <v>3.7837837837838013E-2</v>
      </c>
      <c r="E18" t="s">
        <v>14</v>
      </c>
      <c r="F18">
        <f t="shared" si="2"/>
        <v>0.96216216216216199</v>
      </c>
      <c r="G18" t="s">
        <v>26</v>
      </c>
    </row>
    <row r="19" spans="1:7" x14ac:dyDescent="0.45">
      <c r="A19" t="s">
        <v>17</v>
      </c>
      <c r="B19" s="3"/>
      <c r="C19">
        <v>1.496674057649661E-2</v>
      </c>
      <c r="D19">
        <v>0.90022172949002266</v>
      </c>
      <c r="E19" t="s">
        <v>19</v>
      </c>
      <c r="F19">
        <f t="shared" si="2"/>
        <v>9.977827050997741E-2</v>
      </c>
      <c r="G19" t="s">
        <v>26</v>
      </c>
    </row>
    <row r="20" spans="1:7" x14ac:dyDescent="0.45">
      <c r="A20" t="s">
        <v>20</v>
      </c>
      <c r="B20" s="3"/>
      <c r="C20">
        <v>3.0487804878048811E-2</v>
      </c>
      <c r="D20">
        <v>0.79674796747967458</v>
      </c>
      <c r="E20" t="s">
        <v>19</v>
      </c>
      <c r="F20">
        <f t="shared" si="2"/>
        <v>0.20325203252032542</v>
      </c>
      <c r="G20" t="s">
        <v>26</v>
      </c>
    </row>
    <row r="21" spans="1:7" x14ac:dyDescent="0.45">
      <c r="A21" t="s">
        <v>21</v>
      </c>
      <c r="B21" s="4"/>
      <c r="C21">
        <v>4.5454545454545407E-2</v>
      </c>
      <c r="D21">
        <v>0.69696969696969724</v>
      </c>
      <c r="E21" t="s">
        <v>18</v>
      </c>
      <c r="F21">
        <f t="shared" si="2"/>
        <v>0.30303030303030271</v>
      </c>
      <c r="G21" t="s">
        <v>26</v>
      </c>
    </row>
    <row r="22" spans="1:7" x14ac:dyDescent="0.45">
      <c r="A22" s="1" t="s">
        <v>22</v>
      </c>
      <c r="B22" s="1"/>
      <c r="C22" s="1" t="s">
        <v>9</v>
      </c>
      <c r="D22" s="1" t="s">
        <v>10</v>
      </c>
      <c r="E22" s="1" t="s">
        <v>11</v>
      </c>
      <c r="F22" s="1" t="s">
        <v>23</v>
      </c>
      <c r="G22" s="1" t="s">
        <v>24</v>
      </c>
    </row>
    <row r="23" spans="1:7" x14ac:dyDescent="0.45">
      <c r="A23" t="s">
        <v>12</v>
      </c>
      <c r="B23" s="2">
        <v>0.2</v>
      </c>
      <c r="C23">
        <v>0.1138365194462755</v>
      </c>
      <c r="D23">
        <v>0.43081740276862263</v>
      </c>
      <c r="E23" t="s">
        <v>14</v>
      </c>
      <c r="F23">
        <f>C23/0.2</f>
        <v>0.56918259723137743</v>
      </c>
      <c r="G23" t="s">
        <v>26</v>
      </c>
    </row>
    <row r="24" spans="1:7" x14ac:dyDescent="0.45">
      <c r="A24" t="s">
        <v>15</v>
      </c>
      <c r="B24" s="3"/>
      <c r="C24">
        <v>9.8869778869778879E-2</v>
      </c>
      <c r="D24">
        <v>0.5056511056511056</v>
      </c>
      <c r="E24" t="s">
        <v>18</v>
      </c>
      <c r="F24">
        <f t="shared" ref="F24:F28" si="3">C24/0.2</f>
        <v>0.4943488943488944</v>
      </c>
      <c r="G24" t="s">
        <v>26</v>
      </c>
    </row>
    <row r="25" spans="1:7" x14ac:dyDescent="0.45">
      <c r="A25" t="s">
        <v>16</v>
      </c>
      <c r="B25" s="3"/>
      <c r="C25">
        <v>0.14432432432432429</v>
      </c>
      <c r="D25">
        <v>0.27837837837837848</v>
      </c>
      <c r="E25" t="s">
        <v>14</v>
      </c>
      <c r="F25">
        <f t="shared" si="3"/>
        <v>0.72162162162162147</v>
      </c>
      <c r="G25" t="s">
        <v>26</v>
      </c>
    </row>
    <row r="26" spans="1:7" x14ac:dyDescent="0.45">
      <c r="A26" t="s">
        <v>17</v>
      </c>
      <c r="B26" s="3"/>
      <c r="C26">
        <v>1.496674057649661E-2</v>
      </c>
      <c r="D26">
        <v>0.92516629711751697</v>
      </c>
      <c r="E26" t="s">
        <v>19</v>
      </c>
      <c r="F26">
        <f t="shared" si="3"/>
        <v>7.4833702882483047E-2</v>
      </c>
      <c r="G26" t="s">
        <v>26</v>
      </c>
    </row>
    <row r="27" spans="1:7" x14ac:dyDescent="0.45">
      <c r="A27" t="s">
        <v>20</v>
      </c>
      <c r="B27" s="3"/>
      <c r="C27">
        <v>3.0487804878048811E-2</v>
      </c>
      <c r="D27">
        <v>0.84756097560975596</v>
      </c>
      <c r="E27" t="s">
        <v>19</v>
      </c>
      <c r="F27">
        <f t="shared" si="3"/>
        <v>0.15243902439024404</v>
      </c>
      <c r="G27" t="s">
        <v>26</v>
      </c>
    </row>
    <row r="28" spans="1:7" x14ac:dyDescent="0.45">
      <c r="A28" t="s">
        <v>21</v>
      </c>
      <c r="B28" s="4"/>
      <c r="C28">
        <v>4.5454545454545407E-2</v>
      </c>
      <c r="D28">
        <v>0.77272727272727293</v>
      </c>
      <c r="E28" t="s">
        <v>19</v>
      </c>
      <c r="F28">
        <f t="shared" si="3"/>
        <v>0.22727272727272702</v>
      </c>
      <c r="G28" t="s">
        <v>26</v>
      </c>
    </row>
  </sheetData>
  <mergeCells count="4">
    <mergeCell ref="B2:B7"/>
    <mergeCell ref="B9:B14"/>
    <mergeCell ref="B16:B21"/>
    <mergeCell ref="B23:B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9329-1DF0-439E-A3F1-746FE0B2E1F2}">
  <dimension ref="A1:F28"/>
  <sheetViews>
    <sheetView topLeftCell="A9" workbookViewId="0">
      <selection sqref="A1:F28"/>
    </sheetView>
  </sheetViews>
  <sheetFormatPr defaultRowHeight="14.25" x14ac:dyDescent="0.45"/>
  <cols>
    <col min="1" max="1" width="25.73046875" bestFit="1" customWidth="1"/>
    <col min="2" max="2" width="17.1328125" bestFit="1" customWidth="1"/>
    <col min="3" max="3" width="13.9296875" bestFit="1" customWidth="1"/>
    <col min="4" max="4" width="14.59765625" bestFit="1" customWidth="1"/>
    <col min="5" max="5" width="11.73046875" bestFit="1" customWidth="1"/>
    <col min="6" max="6" width="11.46484375" bestFit="1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6.5478046831024317E-2</v>
      </c>
      <c r="C2">
        <v>-0.30956093662048628</v>
      </c>
      <c r="D2" t="s">
        <v>13</v>
      </c>
      <c r="E2">
        <f>B2/0.05</f>
        <v>1.3095609366204863</v>
      </c>
      <c r="F2" t="s">
        <v>25</v>
      </c>
    </row>
    <row r="3" spans="1:6" x14ac:dyDescent="0.45">
      <c r="A3" t="s">
        <v>15</v>
      </c>
      <c r="B3">
        <v>8.8747375768072123E-2</v>
      </c>
      <c r="C3">
        <v>-0.77494751536144246</v>
      </c>
      <c r="D3" t="s">
        <v>13</v>
      </c>
      <c r="E3">
        <f t="shared" ref="E3:E7" si="0">B3/0.05</f>
        <v>1.7749475153614425</v>
      </c>
      <c r="F3" t="s">
        <v>25</v>
      </c>
    </row>
    <row r="4" spans="1:6" x14ac:dyDescent="0.45">
      <c r="A4" t="s">
        <v>16</v>
      </c>
      <c r="B4">
        <v>0.10097331408096701</v>
      </c>
      <c r="C4">
        <v>-1.0194662816193401</v>
      </c>
      <c r="D4" t="s">
        <v>13</v>
      </c>
      <c r="E4">
        <f t="shared" si="0"/>
        <v>2.0194662816193398</v>
      </c>
      <c r="F4" t="s">
        <v>25</v>
      </c>
    </row>
    <row r="5" spans="1:6" x14ac:dyDescent="0.45">
      <c r="A5" t="s">
        <v>17</v>
      </c>
      <c r="B5">
        <v>2.326932893704781E-2</v>
      </c>
      <c r="C5">
        <v>0.53461342125904388</v>
      </c>
      <c r="D5" t="s">
        <v>18</v>
      </c>
      <c r="E5">
        <f t="shared" si="0"/>
        <v>0.46538657874095618</v>
      </c>
      <c r="F5" t="s">
        <v>26</v>
      </c>
    </row>
    <row r="6" spans="1:6" x14ac:dyDescent="0.45">
      <c r="A6" t="s">
        <v>20</v>
      </c>
      <c r="B6">
        <v>3.5495267249942668E-2</v>
      </c>
      <c r="C6">
        <v>0.29009465500114651</v>
      </c>
      <c r="D6" t="s">
        <v>14</v>
      </c>
      <c r="E6">
        <f t="shared" si="0"/>
        <v>0.70990534499885327</v>
      </c>
      <c r="F6" t="s">
        <v>26</v>
      </c>
    </row>
    <row r="7" spans="1:6" x14ac:dyDescent="0.45">
      <c r="A7" t="s">
        <v>21</v>
      </c>
      <c r="B7">
        <v>1.222593831289487E-2</v>
      </c>
      <c r="C7">
        <v>0.75548123374210263</v>
      </c>
      <c r="D7" t="s">
        <v>19</v>
      </c>
      <c r="E7">
        <f t="shared" si="0"/>
        <v>0.2445187662578974</v>
      </c>
      <c r="F7" t="s">
        <v>26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6.5478046831024317E-2</v>
      </c>
      <c r="C9">
        <v>0.34521953168975678</v>
      </c>
      <c r="D9" t="s">
        <v>14</v>
      </c>
      <c r="E9">
        <f>B9/0.1</f>
        <v>0.65478046831024317</v>
      </c>
      <c r="F9" t="s">
        <v>26</v>
      </c>
    </row>
    <row r="10" spans="1:6" x14ac:dyDescent="0.45">
      <c r="A10" t="s">
        <v>15</v>
      </c>
      <c r="B10">
        <v>8.8747375768072123E-2</v>
      </c>
      <c r="C10">
        <v>0.1125262423192788</v>
      </c>
      <c r="D10" t="s">
        <v>14</v>
      </c>
      <c r="E10">
        <f t="shared" ref="E10:E14" si="1">B10/0.1</f>
        <v>0.88747375768072123</v>
      </c>
      <c r="F10" t="s">
        <v>26</v>
      </c>
    </row>
    <row r="11" spans="1:6" x14ac:dyDescent="0.45">
      <c r="A11" t="s">
        <v>16</v>
      </c>
      <c r="B11">
        <v>0.10097331408096701</v>
      </c>
      <c r="C11">
        <v>-9.7331408096699157E-3</v>
      </c>
      <c r="D11" t="s">
        <v>13</v>
      </c>
      <c r="E11">
        <f t="shared" si="1"/>
        <v>1.0097331408096699</v>
      </c>
      <c r="F11" t="s">
        <v>25</v>
      </c>
    </row>
    <row r="12" spans="1:6" x14ac:dyDescent="0.45">
      <c r="A12" t="s">
        <v>17</v>
      </c>
      <c r="B12">
        <v>2.326932893704781E-2</v>
      </c>
      <c r="C12">
        <v>0.76730671062952194</v>
      </c>
      <c r="D12" t="s">
        <v>19</v>
      </c>
      <c r="E12">
        <f t="shared" si="1"/>
        <v>0.23269328937047809</v>
      </c>
      <c r="F12" t="s">
        <v>26</v>
      </c>
    </row>
    <row r="13" spans="1:6" x14ac:dyDescent="0.45">
      <c r="A13" t="s">
        <v>20</v>
      </c>
      <c r="B13">
        <v>3.5495267249942668E-2</v>
      </c>
      <c r="C13">
        <v>0.64504732750057325</v>
      </c>
      <c r="D13" t="s">
        <v>18</v>
      </c>
      <c r="E13">
        <f t="shared" si="1"/>
        <v>0.35495267249942664</v>
      </c>
      <c r="F13" t="s">
        <v>26</v>
      </c>
    </row>
    <row r="14" spans="1:6" x14ac:dyDescent="0.45">
      <c r="A14" t="s">
        <v>21</v>
      </c>
      <c r="B14">
        <v>1.222593831289487E-2</v>
      </c>
      <c r="C14">
        <v>0.87774061687105132</v>
      </c>
      <c r="D14" t="s">
        <v>19</v>
      </c>
      <c r="E14">
        <f t="shared" si="1"/>
        <v>0.1222593831289487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6.5478046831024317E-2</v>
      </c>
      <c r="C16">
        <v>0.56347968779317115</v>
      </c>
      <c r="D16" t="s">
        <v>18</v>
      </c>
      <c r="E16">
        <f>B16/0.15</f>
        <v>0.4365203122068288</v>
      </c>
      <c r="F16" t="s">
        <v>26</v>
      </c>
    </row>
    <row r="17" spans="1:6" x14ac:dyDescent="0.45">
      <c r="A17" t="s">
        <v>15</v>
      </c>
      <c r="B17">
        <v>8.8747375768072123E-2</v>
      </c>
      <c r="C17">
        <v>0.40835082821285251</v>
      </c>
      <c r="D17" t="s">
        <v>14</v>
      </c>
      <c r="E17">
        <f t="shared" ref="E17:E21" si="2">B17/0.15</f>
        <v>0.59164917178714749</v>
      </c>
      <c r="F17" t="s">
        <v>26</v>
      </c>
    </row>
    <row r="18" spans="1:6" x14ac:dyDescent="0.45">
      <c r="A18" t="s">
        <v>16</v>
      </c>
      <c r="B18">
        <v>0.10097331408096701</v>
      </c>
      <c r="C18">
        <v>0.32684457279355339</v>
      </c>
      <c r="D18" t="s">
        <v>14</v>
      </c>
      <c r="E18">
        <f t="shared" si="2"/>
        <v>0.67315542720644672</v>
      </c>
      <c r="F18" t="s">
        <v>26</v>
      </c>
    </row>
    <row r="19" spans="1:6" x14ac:dyDescent="0.45">
      <c r="A19" t="s">
        <v>17</v>
      </c>
      <c r="B19">
        <v>2.326932893704781E-2</v>
      </c>
      <c r="C19">
        <v>0.84487114041968125</v>
      </c>
      <c r="D19" t="s">
        <v>19</v>
      </c>
      <c r="E19">
        <f t="shared" si="2"/>
        <v>0.15512885958031875</v>
      </c>
      <c r="F19" t="s">
        <v>26</v>
      </c>
    </row>
    <row r="20" spans="1:6" x14ac:dyDescent="0.45">
      <c r="A20" t="s">
        <v>20</v>
      </c>
      <c r="B20">
        <v>3.5495267249942668E-2</v>
      </c>
      <c r="C20">
        <v>0.76336488500038213</v>
      </c>
      <c r="D20" t="s">
        <v>19</v>
      </c>
      <c r="E20">
        <f t="shared" si="2"/>
        <v>0.23663511499961778</v>
      </c>
      <c r="F20" t="s">
        <v>26</v>
      </c>
    </row>
    <row r="21" spans="1:6" x14ac:dyDescent="0.45">
      <c r="A21" t="s">
        <v>21</v>
      </c>
      <c r="B21">
        <v>1.222593831289487E-2</v>
      </c>
      <c r="C21">
        <v>0.91849374458070088</v>
      </c>
      <c r="D21" t="s">
        <v>19</v>
      </c>
      <c r="E21">
        <f t="shared" si="2"/>
        <v>8.1506255419299137E-2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6.5478046831024317E-2</v>
      </c>
      <c r="C23">
        <v>0.67260976584487842</v>
      </c>
      <c r="D23" t="s">
        <v>18</v>
      </c>
      <c r="E23">
        <f>B23/0.2</f>
        <v>0.32739023415512158</v>
      </c>
      <c r="F23" t="s">
        <v>26</v>
      </c>
    </row>
    <row r="24" spans="1:6" x14ac:dyDescent="0.45">
      <c r="A24" t="s">
        <v>15</v>
      </c>
      <c r="B24">
        <v>8.8747375768072123E-2</v>
      </c>
      <c r="C24">
        <v>0.55626312115963938</v>
      </c>
      <c r="D24" t="s">
        <v>18</v>
      </c>
      <c r="E24">
        <f t="shared" ref="E24:E28" si="3">B24/0.2</f>
        <v>0.44373687884036062</v>
      </c>
      <c r="F24" t="s">
        <v>26</v>
      </c>
    </row>
    <row r="25" spans="1:6" x14ac:dyDescent="0.45">
      <c r="A25" t="s">
        <v>16</v>
      </c>
      <c r="B25">
        <v>0.10097331408096701</v>
      </c>
      <c r="C25">
        <v>0.49513342959516499</v>
      </c>
      <c r="D25" t="s">
        <v>14</v>
      </c>
      <c r="E25">
        <f t="shared" si="3"/>
        <v>0.50486657040483496</v>
      </c>
      <c r="F25" t="s">
        <v>26</v>
      </c>
    </row>
    <row r="26" spans="1:6" x14ac:dyDescent="0.45">
      <c r="A26" t="s">
        <v>17</v>
      </c>
      <c r="B26">
        <v>2.326932893704781E-2</v>
      </c>
      <c r="C26">
        <v>0.88365335531476097</v>
      </c>
      <c r="D26" t="s">
        <v>19</v>
      </c>
      <c r="E26">
        <f t="shared" si="3"/>
        <v>0.11634664468523905</v>
      </c>
      <c r="F26" t="s">
        <v>26</v>
      </c>
    </row>
    <row r="27" spans="1:6" x14ac:dyDescent="0.45">
      <c r="A27" t="s">
        <v>20</v>
      </c>
      <c r="B27">
        <v>3.5495267249942668E-2</v>
      </c>
      <c r="C27">
        <v>0.82252366375028663</v>
      </c>
      <c r="D27" t="s">
        <v>19</v>
      </c>
      <c r="E27">
        <f t="shared" si="3"/>
        <v>0.17747633624971332</v>
      </c>
      <c r="F27" t="s">
        <v>26</v>
      </c>
    </row>
    <row r="28" spans="1:6" x14ac:dyDescent="0.45">
      <c r="A28" t="s">
        <v>21</v>
      </c>
      <c r="B28">
        <v>1.222593831289487E-2</v>
      </c>
      <c r="C28">
        <v>0.93887030843552566</v>
      </c>
      <c r="D28" t="s">
        <v>19</v>
      </c>
      <c r="E28">
        <f t="shared" si="3"/>
        <v>6.1129691564474349E-2</v>
      </c>
      <c r="F28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BF5F-071D-455A-A2D1-AC681970C349}">
  <dimension ref="A1:F28"/>
  <sheetViews>
    <sheetView topLeftCell="A9" workbookViewId="0">
      <selection sqref="A1:F28"/>
    </sheetView>
  </sheetViews>
  <sheetFormatPr defaultRowHeight="14.25" x14ac:dyDescent="0.45"/>
  <cols>
    <col min="1" max="1" width="25.73046875" bestFit="1" customWidth="1"/>
    <col min="2" max="2" width="17.1328125" bestFit="1" customWidth="1"/>
    <col min="3" max="3" width="15.53125" customWidth="1"/>
    <col min="4" max="4" width="14.59765625" bestFit="1" customWidth="1"/>
    <col min="5" max="5" width="11.73046875" bestFit="1" customWidth="1"/>
    <col min="6" max="6" width="14.86328125" customWidth="1"/>
  </cols>
  <sheetData>
    <row r="1" spans="1:6" x14ac:dyDescent="0.45">
      <c r="A1" s="1" t="s">
        <v>22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24</v>
      </c>
    </row>
    <row r="2" spans="1:6" x14ac:dyDescent="0.45">
      <c r="A2" t="s">
        <v>12</v>
      </c>
      <c r="B2">
        <v>9.8365952621754738E-2</v>
      </c>
      <c r="C2">
        <v>-0.96731905243509475</v>
      </c>
      <c r="D2" t="s">
        <v>13</v>
      </c>
      <c r="E2">
        <f>B2/0.05</f>
        <v>1.9673190524350948</v>
      </c>
      <c r="F2" t="s">
        <v>25</v>
      </c>
    </row>
    <row r="3" spans="1:6" x14ac:dyDescent="0.45">
      <c r="A3" t="s">
        <v>15</v>
      </c>
      <c r="B3">
        <v>0.13123973600223091</v>
      </c>
      <c r="C3">
        <v>-1.6247947200446189</v>
      </c>
      <c r="D3" t="s">
        <v>13</v>
      </c>
      <c r="E3">
        <f t="shared" ref="E3:E7" si="0">B3/0.05</f>
        <v>2.6247947200446178</v>
      </c>
      <c r="F3" t="s">
        <v>25</v>
      </c>
    </row>
    <row r="4" spans="1:6" x14ac:dyDescent="0.45">
      <c r="A4" t="s">
        <v>16</v>
      </c>
      <c r="B4">
        <v>0.16539291556129809</v>
      </c>
      <c r="C4">
        <v>-2.3078583112259619</v>
      </c>
      <c r="D4" t="s">
        <v>13</v>
      </c>
      <c r="E4">
        <f t="shared" si="0"/>
        <v>3.3078583112259619</v>
      </c>
      <c r="F4" t="s">
        <v>25</v>
      </c>
    </row>
    <row r="5" spans="1:6" x14ac:dyDescent="0.45">
      <c r="A5" t="s">
        <v>17</v>
      </c>
      <c r="B5">
        <v>3.2873783380476203E-2</v>
      </c>
      <c r="C5">
        <v>0.34252433239047608</v>
      </c>
      <c r="D5" t="s">
        <v>14</v>
      </c>
      <c r="E5">
        <f t="shared" si="0"/>
        <v>0.65747566760952403</v>
      </c>
      <c r="F5" t="s">
        <v>26</v>
      </c>
    </row>
    <row r="6" spans="1:6" x14ac:dyDescent="0.45">
      <c r="A6" t="s">
        <v>20</v>
      </c>
      <c r="B6">
        <v>6.7026962939543355E-2</v>
      </c>
      <c r="C6">
        <v>-0.34053925879086711</v>
      </c>
      <c r="D6" t="s">
        <v>13</v>
      </c>
      <c r="E6">
        <f t="shared" si="0"/>
        <v>1.3405392587908671</v>
      </c>
      <c r="F6" t="s">
        <v>25</v>
      </c>
    </row>
    <row r="7" spans="1:6" x14ac:dyDescent="0.45">
      <c r="A7" t="s">
        <v>21</v>
      </c>
      <c r="B7">
        <v>3.4153179559067159E-2</v>
      </c>
      <c r="C7">
        <v>0.31693640881865681</v>
      </c>
      <c r="D7" t="s">
        <v>14</v>
      </c>
      <c r="E7">
        <f t="shared" si="0"/>
        <v>0.68306359118134319</v>
      </c>
      <c r="F7" t="s">
        <v>26</v>
      </c>
    </row>
    <row r="8" spans="1:6" x14ac:dyDescent="0.45">
      <c r="A8" s="1" t="s">
        <v>22</v>
      </c>
      <c r="B8" s="1" t="s">
        <v>3</v>
      </c>
      <c r="C8" s="1" t="s">
        <v>4</v>
      </c>
      <c r="D8" s="1" t="s">
        <v>5</v>
      </c>
      <c r="E8" s="1" t="s">
        <v>23</v>
      </c>
      <c r="F8" s="1" t="s">
        <v>24</v>
      </c>
    </row>
    <row r="9" spans="1:6" x14ac:dyDescent="0.45">
      <c r="A9" t="s">
        <v>12</v>
      </c>
      <c r="B9">
        <v>9.8365952621754738E-2</v>
      </c>
      <c r="C9">
        <v>1.6340473782452621E-2</v>
      </c>
      <c r="D9" t="s">
        <v>14</v>
      </c>
      <c r="E9">
        <f>B9/0.1</f>
        <v>0.98365952621754738</v>
      </c>
      <c r="F9" t="s">
        <v>26</v>
      </c>
    </row>
    <row r="10" spans="1:6" x14ac:dyDescent="0.45">
      <c r="A10" t="s">
        <v>15</v>
      </c>
      <c r="B10">
        <v>0.13123973600223091</v>
      </c>
      <c r="C10">
        <v>-0.31239736002230928</v>
      </c>
      <c r="D10" t="s">
        <v>13</v>
      </c>
      <c r="E10">
        <f t="shared" ref="E10:E14" si="1">B10/0.1</f>
        <v>1.3123973600223089</v>
      </c>
      <c r="F10" t="s">
        <v>25</v>
      </c>
    </row>
    <row r="11" spans="1:6" x14ac:dyDescent="0.45">
      <c r="A11" t="s">
        <v>16</v>
      </c>
      <c r="B11">
        <v>0.16539291556129809</v>
      </c>
      <c r="C11">
        <v>-0.65392915561298093</v>
      </c>
      <c r="D11" t="s">
        <v>13</v>
      </c>
      <c r="E11">
        <f t="shared" si="1"/>
        <v>1.6539291556129809</v>
      </c>
      <c r="F11" t="s">
        <v>25</v>
      </c>
    </row>
    <row r="12" spans="1:6" x14ac:dyDescent="0.45">
      <c r="A12" t="s">
        <v>17</v>
      </c>
      <c r="B12">
        <v>3.2873783380476203E-2</v>
      </c>
      <c r="C12">
        <v>0.67126216619523804</v>
      </c>
      <c r="D12" t="s">
        <v>18</v>
      </c>
      <c r="E12">
        <f t="shared" si="1"/>
        <v>0.32873783380476201</v>
      </c>
      <c r="F12" t="s">
        <v>26</v>
      </c>
    </row>
    <row r="13" spans="1:6" x14ac:dyDescent="0.45">
      <c r="A13" t="s">
        <v>20</v>
      </c>
      <c r="B13">
        <v>6.7026962939543355E-2</v>
      </c>
      <c r="C13">
        <v>0.32973037060456639</v>
      </c>
      <c r="D13" t="s">
        <v>14</v>
      </c>
      <c r="E13">
        <f t="shared" si="1"/>
        <v>0.67026962939543355</v>
      </c>
      <c r="F13" t="s">
        <v>26</v>
      </c>
    </row>
    <row r="14" spans="1:6" x14ac:dyDescent="0.45">
      <c r="A14" t="s">
        <v>21</v>
      </c>
      <c r="B14">
        <v>3.4153179559067159E-2</v>
      </c>
      <c r="C14">
        <v>0.65846820440932841</v>
      </c>
      <c r="D14" t="s">
        <v>18</v>
      </c>
      <c r="E14">
        <f t="shared" si="1"/>
        <v>0.34153179559067159</v>
      </c>
      <c r="F14" t="s">
        <v>26</v>
      </c>
    </row>
    <row r="15" spans="1:6" x14ac:dyDescent="0.45">
      <c r="A15" s="1" t="s">
        <v>22</v>
      </c>
      <c r="B15" s="1" t="s">
        <v>6</v>
      </c>
      <c r="C15" s="1" t="s">
        <v>7</v>
      </c>
      <c r="D15" s="1" t="s">
        <v>8</v>
      </c>
      <c r="E15" s="1" t="s">
        <v>23</v>
      </c>
      <c r="F15" s="1" t="s">
        <v>24</v>
      </c>
    </row>
    <row r="16" spans="1:6" x14ac:dyDescent="0.45">
      <c r="A16" t="s">
        <v>12</v>
      </c>
      <c r="B16">
        <v>9.8365952621754738E-2</v>
      </c>
      <c r="C16">
        <v>0.34422698252163508</v>
      </c>
      <c r="D16" t="s">
        <v>14</v>
      </c>
      <c r="E16">
        <f>B16/0.15</f>
        <v>0.65577301747836492</v>
      </c>
      <c r="F16" t="s">
        <v>26</v>
      </c>
    </row>
    <row r="17" spans="1:6" x14ac:dyDescent="0.45">
      <c r="A17" t="s">
        <v>15</v>
      </c>
      <c r="B17">
        <v>0.13123973600223091</v>
      </c>
      <c r="C17">
        <v>0.12506842665179371</v>
      </c>
      <c r="D17" t="s">
        <v>14</v>
      </c>
      <c r="E17">
        <f t="shared" ref="E17:E21" si="2">B17/0.15</f>
        <v>0.87493157334820604</v>
      </c>
      <c r="F17" t="s">
        <v>26</v>
      </c>
    </row>
    <row r="18" spans="1:6" x14ac:dyDescent="0.45">
      <c r="A18" t="s">
        <v>16</v>
      </c>
      <c r="B18">
        <v>0.16539291556129809</v>
      </c>
      <c r="C18">
        <v>-0.1026194370753206</v>
      </c>
      <c r="D18" t="s">
        <v>13</v>
      </c>
      <c r="E18">
        <f t="shared" si="2"/>
        <v>1.1026194370753206</v>
      </c>
      <c r="F18" t="s">
        <v>25</v>
      </c>
    </row>
    <row r="19" spans="1:6" x14ac:dyDescent="0.45">
      <c r="A19" t="s">
        <v>17</v>
      </c>
      <c r="B19">
        <v>3.2873783380476203E-2</v>
      </c>
      <c r="C19">
        <v>0.78084144413015866</v>
      </c>
      <c r="D19" t="s">
        <v>19</v>
      </c>
      <c r="E19">
        <f t="shared" si="2"/>
        <v>0.21915855586984137</v>
      </c>
      <c r="F19" t="s">
        <v>26</v>
      </c>
    </row>
    <row r="20" spans="1:6" x14ac:dyDescent="0.45">
      <c r="A20" t="s">
        <v>20</v>
      </c>
      <c r="B20">
        <v>6.7026962939543355E-2</v>
      </c>
      <c r="C20">
        <v>0.5531535804030443</v>
      </c>
      <c r="D20" t="s">
        <v>18</v>
      </c>
      <c r="E20">
        <f t="shared" si="2"/>
        <v>0.4468464195969557</v>
      </c>
      <c r="F20" t="s">
        <v>26</v>
      </c>
    </row>
    <row r="21" spans="1:6" x14ac:dyDescent="0.45">
      <c r="A21" t="s">
        <v>21</v>
      </c>
      <c r="B21">
        <v>3.4153179559067159E-2</v>
      </c>
      <c r="C21">
        <v>0.77231213627288553</v>
      </c>
      <c r="D21" t="s">
        <v>19</v>
      </c>
      <c r="E21">
        <f t="shared" si="2"/>
        <v>0.22768786372711441</v>
      </c>
      <c r="F21" t="s">
        <v>26</v>
      </c>
    </row>
    <row r="22" spans="1:6" x14ac:dyDescent="0.45">
      <c r="A22" s="1" t="s">
        <v>22</v>
      </c>
      <c r="B22" s="1" t="s">
        <v>9</v>
      </c>
      <c r="C22" s="1" t="s">
        <v>10</v>
      </c>
      <c r="D22" s="1" t="s">
        <v>11</v>
      </c>
      <c r="E22" s="1" t="s">
        <v>23</v>
      </c>
      <c r="F22" s="1" t="s">
        <v>24</v>
      </c>
    </row>
    <row r="23" spans="1:6" x14ac:dyDescent="0.45">
      <c r="A23" t="s">
        <v>12</v>
      </c>
      <c r="B23">
        <v>9.8365952621754738E-2</v>
      </c>
      <c r="C23">
        <v>0.50817023689122631</v>
      </c>
      <c r="D23" t="s">
        <v>18</v>
      </c>
      <c r="E23">
        <f>B23/0.2</f>
        <v>0.49182976310877369</v>
      </c>
      <c r="F23" t="s">
        <v>26</v>
      </c>
    </row>
    <row r="24" spans="1:6" x14ac:dyDescent="0.45">
      <c r="A24" t="s">
        <v>15</v>
      </c>
      <c r="B24">
        <v>0.13123973600223091</v>
      </c>
      <c r="C24">
        <v>0.34380131998884528</v>
      </c>
      <c r="D24" t="s">
        <v>14</v>
      </c>
      <c r="E24">
        <f t="shared" ref="E24:E28" si="3">B24/0.2</f>
        <v>0.65619868001115444</v>
      </c>
      <c r="F24" t="s">
        <v>26</v>
      </c>
    </row>
    <row r="25" spans="1:6" x14ac:dyDescent="0.45">
      <c r="A25" t="s">
        <v>16</v>
      </c>
      <c r="B25">
        <v>0.16539291556129809</v>
      </c>
      <c r="C25">
        <v>0.17303542219350951</v>
      </c>
      <c r="D25" t="s">
        <v>14</v>
      </c>
      <c r="E25">
        <f t="shared" si="3"/>
        <v>0.82696457780649046</v>
      </c>
      <c r="F25" t="s">
        <v>26</v>
      </c>
    </row>
    <row r="26" spans="1:6" x14ac:dyDescent="0.45">
      <c r="A26" t="s">
        <v>17</v>
      </c>
      <c r="B26">
        <v>3.2873783380476203E-2</v>
      </c>
      <c r="C26">
        <v>0.83563108309761902</v>
      </c>
      <c r="D26" t="s">
        <v>19</v>
      </c>
      <c r="E26">
        <f t="shared" si="3"/>
        <v>0.16436891690238101</v>
      </c>
      <c r="F26" t="s">
        <v>26</v>
      </c>
    </row>
    <row r="27" spans="1:6" x14ac:dyDescent="0.45">
      <c r="A27" t="s">
        <v>20</v>
      </c>
      <c r="B27">
        <v>6.7026962939543355E-2</v>
      </c>
      <c r="C27">
        <v>0.66486518530228322</v>
      </c>
      <c r="D27" t="s">
        <v>18</v>
      </c>
      <c r="E27">
        <f t="shared" si="3"/>
        <v>0.33513481469771678</v>
      </c>
      <c r="F27" t="s">
        <v>26</v>
      </c>
    </row>
    <row r="28" spans="1:6" x14ac:dyDescent="0.45">
      <c r="A28" t="s">
        <v>21</v>
      </c>
      <c r="B28">
        <v>3.4153179559067159E-2</v>
      </c>
      <c r="C28">
        <v>0.8292341022046642</v>
      </c>
      <c r="D28" t="s">
        <v>19</v>
      </c>
      <c r="E28">
        <f t="shared" si="3"/>
        <v>0.1707658977953358</v>
      </c>
      <c r="F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Compas_Selection_rate</vt:lpstr>
      <vt:lpstr>Compas_TPR</vt:lpstr>
      <vt:lpstr>Compas_TNR</vt:lpstr>
      <vt:lpstr>Compas_FPR</vt:lpstr>
      <vt:lpstr>Compass_PPV</vt:lpstr>
      <vt:lpstr>Compa_FNR</vt:lpstr>
      <vt:lpstr>Compass_NPV</vt:lpstr>
      <vt:lpstr>Compas_F1</vt:lpstr>
      <vt:lpstr>Compas_AUC</vt:lpstr>
      <vt:lpstr>Compas_Accuracy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Olalekan Joseph Akintande</dc:creator>
  <cp:lastModifiedBy>Olalekan Joseph Akintande</cp:lastModifiedBy>
  <dcterms:created xsi:type="dcterms:W3CDTF">2025-12-19T16:51:23Z</dcterms:created>
  <dcterms:modified xsi:type="dcterms:W3CDTF">2025-12-20T23:07:56Z</dcterms:modified>
</cp:coreProperties>
</file>