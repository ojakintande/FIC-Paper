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2c45708cd3beec/2025/Paper_2025/PHD_Work/"/>
    </mc:Choice>
  </mc:AlternateContent>
  <xr:revisionPtr revIDLastSave="9" documentId="8_{E345C162-B35B-4392-A1BF-AFEE604BBBE7}" xr6:coauthVersionLast="47" xr6:coauthVersionMax="47" xr10:uidLastSave="{80674157-DB25-418F-99D4-C1DAEE771994}"/>
  <bookViews>
    <workbookView xWindow="-98" yWindow="-98" windowWidth="19396" windowHeight="10395" activeTab="4" xr2:uid="{98B5562C-5591-4571-845F-BD902FA12DFE}"/>
  </bookViews>
  <sheets>
    <sheet name="Accuracy" sheetId="1" r:id="rId1"/>
    <sheet name="Selection Rate" sheetId="2" r:id="rId2"/>
    <sheet name="TPR" sheetId="3" r:id="rId3"/>
    <sheet name="TNR" sheetId="4" r:id="rId4"/>
    <sheet name="FPR" sheetId="5" r:id="rId5"/>
    <sheet name="FNR" sheetId="6" r:id="rId6"/>
    <sheet name="PPV" sheetId="7" r:id="rId7"/>
    <sheet name="NPV" sheetId="8" r:id="rId8"/>
    <sheet name="F1" sheetId="9" r:id="rId9"/>
    <sheet name="AUC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10" l="1"/>
  <c r="E27" i="10"/>
  <c r="E26" i="10"/>
  <c r="E25" i="10"/>
  <c r="E24" i="10"/>
  <c r="E23" i="10"/>
  <c r="E21" i="10"/>
  <c r="E20" i="10"/>
  <c r="E19" i="10"/>
  <c r="E18" i="10"/>
  <c r="E17" i="10"/>
  <c r="E16" i="10"/>
  <c r="E14" i="10"/>
  <c r="E13" i="10"/>
  <c r="E12" i="10"/>
  <c r="E11" i="10"/>
  <c r="E10" i="10"/>
  <c r="E9" i="10"/>
  <c r="E7" i="10"/>
  <c r="E6" i="10"/>
  <c r="E5" i="10"/>
  <c r="E4" i="10"/>
  <c r="E3" i="10"/>
  <c r="E2" i="10"/>
  <c r="E28" i="9"/>
  <c r="E27" i="9"/>
  <c r="E26" i="9"/>
  <c r="E25" i="9"/>
  <c r="E24" i="9"/>
  <c r="E23" i="9"/>
  <c r="E21" i="9"/>
  <c r="E20" i="9"/>
  <c r="E19" i="9"/>
  <c r="E18" i="9"/>
  <c r="E17" i="9"/>
  <c r="E16" i="9"/>
  <c r="E14" i="9"/>
  <c r="E13" i="9"/>
  <c r="E12" i="9"/>
  <c r="E11" i="9"/>
  <c r="E10" i="9"/>
  <c r="E9" i="9"/>
  <c r="E7" i="9"/>
  <c r="E6" i="9"/>
  <c r="E5" i="9"/>
  <c r="E4" i="9"/>
  <c r="E3" i="9"/>
  <c r="E2" i="9"/>
  <c r="E28" i="8"/>
  <c r="E27" i="8"/>
  <c r="E26" i="8"/>
  <c r="E25" i="8"/>
  <c r="E24" i="8"/>
  <c r="E23" i="8"/>
  <c r="E21" i="8"/>
  <c r="E20" i="8"/>
  <c r="E19" i="8"/>
  <c r="E18" i="8"/>
  <c r="E17" i="8"/>
  <c r="E16" i="8"/>
  <c r="E14" i="8"/>
  <c r="E13" i="8"/>
  <c r="E12" i="8"/>
  <c r="E11" i="8"/>
  <c r="E10" i="8"/>
  <c r="E9" i="8"/>
  <c r="E7" i="8"/>
  <c r="E6" i="8"/>
  <c r="E5" i="8"/>
  <c r="E4" i="8"/>
  <c r="E3" i="8"/>
  <c r="E2" i="8"/>
  <c r="E28" i="7"/>
  <c r="E27" i="7"/>
  <c r="E26" i="7"/>
  <c r="E25" i="7"/>
  <c r="E24" i="7"/>
  <c r="E23" i="7"/>
  <c r="E21" i="7"/>
  <c r="E20" i="7"/>
  <c r="E19" i="7"/>
  <c r="E18" i="7"/>
  <c r="E17" i="7"/>
  <c r="E16" i="7"/>
  <c r="E14" i="7"/>
  <c r="E13" i="7"/>
  <c r="E12" i="7"/>
  <c r="E11" i="7"/>
  <c r="E10" i="7"/>
  <c r="E9" i="7"/>
  <c r="E7" i="7"/>
  <c r="E6" i="7"/>
  <c r="E5" i="7"/>
  <c r="E4" i="7"/>
  <c r="E3" i="7"/>
  <c r="E2" i="7"/>
  <c r="E28" i="6"/>
  <c r="E27" i="6"/>
  <c r="E26" i="6"/>
  <c r="E25" i="6"/>
  <c r="E24" i="6"/>
  <c r="E23" i="6"/>
  <c r="E21" i="6"/>
  <c r="E20" i="6"/>
  <c r="E19" i="6"/>
  <c r="E18" i="6"/>
  <c r="E17" i="6"/>
  <c r="E16" i="6"/>
  <c r="E14" i="6"/>
  <c r="E13" i="6"/>
  <c r="E12" i="6"/>
  <c r="E11" i="6"/>
  <c r="E10" i="6"/>
  <c r="E9" i="6"/>
  <c r="E7" i="6"/>
  <c r="E6" i="6"/>
  <c r="E5" i="6"/>
  <c r="E4" i="6"/>
  <c r="E3" i="6"/>
  <c r="E2" i="6"/>
  <c r="E28" i="5"/>
  <c r="E27" i="5"/>
  <c r="E26" i="5"/>
  <c r="E25" i="5"/>
  <c r="E24" i="5"/>
  <c r="E23" i="5"/>
  <c r="E21" i="5"/>
  <c r="E20" i="5"/>
  <c r="E19" i="5"/>
  <c r="E18" i="5"/>
  <c r="E17" i="5"/>
  <c r="E16" i="5"/>
  <c r="E14" i="5"/>
  <c r="E13" i="5"/>
  <c r="E12" i="5"/>
  <c r="E11" i="5"/>
  <c r="E10" i="5"/>
  <c r="E9" i="5"/>
  <c r="E7" i="5"/>
  <c r="E6" i="5"/>
  <c r="E5" i="5"/>
  <c r="E4" i="5"/>
  <c r="E3" i="5"/>
  <c r="E2" i="5"/>
  <c r="E28" i="4"/>
  <c r="E27" i="4"/>
  <c r="E26" i="4"/>
  <c r="E25" i="4"/>
  <c r="E24" i="4"/>
  <c r="E23" i="4"/>
  <c r="E21" i="4"/>
  <c r="E20" i="4"/>
  <c r="E19" i="4"/>
  <c r="E18" i="4"/>
  <c r="E17" i="4"/>
  <c r="E16" i="4"/>
  <c r="E14" i="4"/>
  <c r="E13" i="4"/>
  <c r="E12" i="4"/>
  <c r="E11" i="4"/>
  <c r="E10" i="4"/>
  <c r="E9" i="4"/>
  <c r="E7" i="4"/>
  <c r="E6" i="4"/>
  <c r="E5" i="4"/>
  <c r="E4" i="4"/>
  <c r="E3" i="4"/>
  <c r="E2" i="4"/>
  <c r="E28" i="3"/>
  <c r="E27" i="3"/>
  <c r="E26" i="3"/>
  <c r="E25" i="3"/>
  <c r="E24" i="3"/>
  <c r="E23" i="3"/>
  <c r="E21" i="3"/>
  <c r="E20" i="3"/>
  <c r="E19" i="3"/>
  <c r="E18" i="3"/>
  <c r="E17" i="3"/>
  <c r="E16" i="3"/>
  <c r="E14" i="3"/>
  <c r="E13" i="3"/>
  <c r="E12" i="3"/>
  <c r="E11" i="3"/>
  <c r="E10" i="3"/>
  <c r="E9" i="3"/>
  <c r="E7" i="3"/>
  <c r="E6" i="3"/>
  <c r="E5" i="3"/>
  <c r="E4" i="3"/>
  <c r="E3" i="3"/>
  <c r="E2" i="3"/>
  <c r="E28" i="2"/>
  <c r="E27" i="2"/>
  <c r="E26" i="2"/>
  <c r="E25" i="2"/>
  <c r="E24" i="2"/>
  <c r="E23" i="2"/>
  <c r="E21" i="2"/>
  <c r="E20" i="2"/>
  <c r="E19" i="2"/>
  <c r="E18" i="2"/>
  <c r="E17" i="2"/>
  <c r="E16" i="2"/>
  <c r="E14" i="2"/>
  <c r="E13" i="2"/>
  <c r="E12" i="2"/>
  <c r="E11" i="2"/>
  <c r="E10" i="2"/>
  <c r="E9" i="2"/>
  <c r="E7" i="2"/>
  <c r="E6" i="2"/>
  <c r="E5" i="2"/>
  <c r="E4" i="2"/>
  <c r="E3" i="2"/>
  <c r="E2" i="2"/>
  <c r="E24" i="1"/>
  <c r="E25" i="1"/>
  <c r="E26" i="1"/>
  <c r="E27" i="1"/>
  <c r="E28" i="1"/>
  <c r="E23" i="1"/>
  <c r="E17" i="1"/>
  <c r="E18" i="1"/>
  <c r="E19" i="1"/>
  <c r="E20" i="1"/>
  <c r="E21" i="1"/>
  <c r="E16" i="1"/>
  <c r="E10" i="1"/>
  <c r="E11" i="1"/>
  <c r="E12" i="1"/>
  <c r="E13" i="1"/>
  <c r="E14" i="1"/>
  <c r="E9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<sst xmlns="http://schemas.openxmlformats.org/spreadsheetml/2006/main" count="960" uniqueCount="27">
  <si>
    <t>omega_alphaF_0.05</t>
  </si>
  <si>
    <t>FIC_alphaF_0.05</t>
  </si>
  <si>
    <t>Tier_alphaF_0.05</t>
  </si>
  <si>
    <t>omega_alphaF_0.1</t>
  </si>
  <si>
    <t>FIC_alphaF_0.1</t>
  </si>
  <si>
    <t>Tier_alphaF_0.1</t>
  </si>
  <si>
    <t>omega_alphaF_0.15</t>
  </si>
  <si>
    <t>FIC_alphaF_0.15</t>
  </si>
  <si>
    <t>Tier_alphaF_0.15</t>
  </si>
  <si>
    <t>omega_alphaF_0.2</t>
  </si>
  <si>
    <t>FIC_alphaF_0.2</t>
  </si>
  <si>
    <t>Tier_alphaF_0.2</t>
  </si>
  <si>
    <t>APAI - Other</t>
  </si>
  <si>
    <t>Unacceptable</t>
  </si>
  <si>
    <t>Questionable</t>
  </si>
  <si>
    <t>Black - APAI</t>
  </si>
  <si>
    <t>Acceptable</t>
  </si>
  <si>
    <t>Black - Other</t>
  </si>
  <si>
    <t>White - APAI</t>
  </si>
  <si>
    <t>Optimum</t>
  </si>
  <si>
    <t>White - Black</t>
  </si>
  <si>
    <t>White - Other</t>
  </si>
  <si>
    <t>Inter-Group</t>
  </si>
  <si>
    <t>Phi_a,b</t>
  </si>
  <si>
    <t>H0</t>
  </si>
  <si>
    <t>Reject, Unfair</t>
  </si>
  <si>
    <t>Accept, Fair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</si>
</sst>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468E-EA8E-4DC0-A7AF-65ACFC56EBBA}">
  <dimension ref="A1:F28"/>
  <sheetViews>
    <sheetView topLeftCell="A9" workbookViewId="0">
      <selection activeCell="E1" sqref="E1:F28"/>
    </sheetView>
  </sheetViews>
  <sheetFormatPr defaultRowHeight="14.25" x14ac:dyDescent="0.45"/>
  <cols>
    <col min="1" max="1" width="17.1328125" customWidth="1"/>
    <col min="2" max="2" width="17.1328125" bestFit="1" customWidth="1"/>
    <col min="3" max="3" width="13.9296875" bestFit="1" customWidth="1"/>
    <col min="4" max="4" width="16.796875" customWidth="1"/>
    <col min="5" max="5" width="13.1328125" customWidth="1"/>
    <col min="6" max="6" width="14.46484375" customWidth="1"/>
  </cols>
  <sheetData>
    <row r="1" spans="1:6" x14ac:dyDescent="0.45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24</v>
      </c>
    </row>
    <row r="2" spans="1:6" x14ac:dyDescent="0.45">
      <c r="A2" s="2" t="s">
        <v>12</v>
      </c>
      <c r="B2">
        <v>0.15285530270502359</v>
      </c>
      <c r="C2">
        <v>-2.0571060541004709</v>
      </c>
      <c r="D2" t="s">
        <v>13</v>
      </c>
      <c r="E2">
        <f>B2/0.05</f>
        <v>3.0571060541004718</v>
      </c>
      <c r="F2" t="s">
        <v>25</v>
      </c>
    </row>
    <row r="3" spans="1:6" x14ac:dyDescent="0.45">
      <c r="A3" s="2" t="s">
        <v>15</v>
      </c>
      <c r="B3">
        <v>8.4227851724631431E-2</v>
      </c>
      <c r="C3">
        <v>-0.68455703449262861</v>
      </c>
      <c r="D3" t="s">
        <v>13</v>
      </c>
      <c r="E3">
        <f t="shared" ref="E3:E7" si="0">B3/0.05</f>
        <v>1.6845570344926286</v>
      </c>
      <c r="F3" t="s">
        <v>25</v>
      </c>
    </row>
    <row r="4" spans="1:6" x14ac:dyDescent="0.45">
      <c r="A4" s="2" t="s">
        <v>17</v>
      </c>
      <c r="B4">
        <v>6.8627450980392135E-2</v>
      </c>
      <c r="C4">
        <v>-0.3725490196078427</v>
      </c>
      <c r="D4" t="s">
        <v>13</v>
      </c>
      <c r="E4">
        <f t="shared" si="0"/>
        <v>1.3725490196078427</v>
      </c>
      <c r="F4" t="s">
        <v>25</v>
      </c>
    </row>
    <row r="5" spans="1:6" x14ac:dyDescent="0.45">
      <c r="A5" s="2" t="s">
        <v>18</v>
      </c>
      <c r="B5">
        <v>7.2992700729923587E-4</v>
      </c>
      <c r="C5">
        <v>0.98540145985401528</v>
      </c>
      <c r="D5" t="s">
        <v>19</v>
      </c>
      <c r="E5">
        <f t="shared" si="0"/>
        <v>1.4598540145984717E-2</v>
      </c>
      <c r="F5" t="s">
        <v>26</v>
      </c>
    </row>
    <row r="6" spans="1:6" x14ac:dyDescent="0.45">
      <c r="A6" s="2" t="s">
        <v>20</v>
      </c>
      <c r="B6">
        <v>8.3497924717332195E-2</v>
      </c>
      <c r="C6">
        <v>-0.6699584943466439</v>
      </c>
      <c r="D6" t="s">
        <v>13</v>
      </c>
      <c r="E6">
        <f t="shared" si="0"/>
        <v>1.6699584943466439</v>
      </c>
      <c r="F6" t="s">
        <v>25</v>
      </c>
    </row>
    <row r="7" spans="1:6" x14ac:dyDescent="0.45">
      <c r="A7" s="2" t="s">
        <v>21</v>
      </c>
      <c r="B7">
        <v>0.1521253756977243</v>
      </c>
      <c r="C7">
        <v>-2.042507513954487</v>
      </c>
      <c r="D7" t="s">
        <v>13</v>
      </c>
      <c r="E7">
        <f t="shared" si="0"/>
        <v>3.0425075139544857</v>
      </c>
      <c r="F7" t="s">
        <v>25</v>
      </c>
    </row>
    <row r="8" spans="1:6" x14ac:dyDescent="0.45">
      <c r="A8" s="1" t="s">
        <v>22</v>
      </c>
      <c r="B8" s="1" t="s">
        <v>3</v>
      </c>
      <c r="C8" s="1" t="s">
        <v>4</v>
      </c>
      <c r="D8" s="1" t="s">
        <v>5</v>
      </c>
      <c r="E8" s="1" t="s">
        <v>23</v>
      </c>
      <c r="F8" s="1" t="s">
        <v>24</v>
      </c>
    </row>
    <row r="9" spans="1:6" x14ac:dyDescent="0.45">
      <c r="A9" s="2" t="s">
        <v>12</v>
      </c>
      <c r="B9">
        <v>0.15285530270502359</v>
      </c>
      <c r="C9">
        <v>-0.52855302705023566</v>
      </c>
      <c r="D9" t="s">
        <v>13</v>
      </c>
      <c r="E9">
        <f>B9/0.1</f>
        <v>1.5285530270502359</v>
      </c>
      <c r="F9" t="s">
        <v>25</v>
      </c>
    </row>
    <row r="10" spans="1:6" x14ac:dyDescent="0.45">
      <c r="A10" s="2" t="s">
        <v>15</v>
      </c>
      <c r="B10">
        <v>8.4227851724631431E-2</v>
      </c>
      <c r="C10">
        <v>0.15772148275368569</v>
      </c>
      <c r="D10" t="s">
        <v>14</v>
      </c>
      <c r="E10">
        <f t="shared" ref="E10:E14" si="1">B10/0.1</f>
        <v>0.84227851724631431</v>
      </c>
      <c r="F10" t="s">
        <v>26</v>
      </c>
    </row>
    <row r="11" spans="1:6" x14ac:dyDescent="0.45">
      <c r="A11" s="2" t="s">
        <v>17</v>
      </c>
      <c r="B11">
        <v>6.8627450980392135E-2</v>
      </c>
      <c r="C11">
        <v>0.31372549019607859</v>
      </c>
      <c r="D11" t="s">
        <v>14</v>
      </c>
      <c r="E11">
        <f t="shared" si="1"/>
        <v>0.68627450980392135</v>
      </c>
      <c r="F11" t="s">
        <v>26</v>
      </c>
    </row>
    <row r="12" spans="1:6" x14ac:dyDescent="0.45">
      <c r="A12" s="2" t="s">
        <v>18</v>
      </c>
      <c r="B12">
        <v>7.2992700729923587E-4</v>
      </c>
      <c r="C12">
        <v>0.99270072992700764</v>
      </c>
      <c r="D12" t="s">
        <v>19</v>
      </c>
      <c r="E12">
        <f t="shared" si="1"/>
        <v>7.2992700729923587E-3</v>
      </c>
      <c r="F12" t="s">
        <v>26</v>
      </c>
    </row>
    <row r="13" spans="1:6" x14ac:dyDescent="0.45">
      <c r="A13" s="2" t="s">
        <v>20</v>
      </c>
      <c r="B13">
        <v>8.3497924717332195E-2</v>
      </c>
      <c r="C13">
        <v>0.16502075282667811</v>
      </c>
      <c r="D13" t="s">
        <v>14</v>
      </c>
      <c r="E13">
        <f t="shared" si="1"/>
        <v>0.83497924717332195</v>
      </c>
      <c r="F13" t="s">
        <v>26</v>
      </c>
    </row>
    <row r="14" spans="1:6" x14ac:dyDescent="0.45">
      <c r="A14" s="2" t="s">
        <v>21</v>
      </c>
      <c r="B14">
        <v>0.1521253756977243</v>
      </c>
      <c r="C14">
        <v>-0.5212537569772433</v>
      </c>
      <c r="D14" t="s">
        <v>13</v>
      </c>
      <c r="E14">
        <f t="shared" si="1"/>
        <v>1.5212537569772429</v>
      </c>
      <c r="F14" t="s">
        <v>25</v>
      </c>
    </row>
    <row r="15" spans="1:6" x14ac:dyDescent="0.45">
      <c r="A15" s="1" t="s">
        <v>22</v>
      </c>
      <c r="B15" s="1" t="s">
        <v>6</v>
      </c>
      <c r="C15" s="1" t="s">
        <v>7</v>
      </c>
      <c r="D15" s="1" t="s">
        <v>8</v>
      </c>
      <c r="E15" s="1" t="s">
        <v>23</v>
      </c>
      <c r="F15" s="1" t="s">
        <v>24</v>
      </c>
    </row>
    <row r="16" spans="1:6" x14ac:dyDescent="0.45">
      <c r="A16" s="2" t="s">
        <v>12</v>
      </c>
      <c r="B16">
        <v>0.15285530270502359</v>
      </c>
      <c r="C16">
        <v>-1.9035351366823772E-2</v>
      </c>
      <c r="D16" t="s">
        <v>13</v>
      </c>
      <c r="E16">
        <f>B16/0.15</f>
        <v>1.019035351366824</v>
      </c>
      <c r="F16" t="s">
        <v>25</v>
      </c>
    </row>
    <row r="17" spans="1:6" x14ac:dyDescent="0.45">
      <c r="A17" s="2" t="s">
        <v>15</v>
      </c>
      <c r="B17">
        <v>8.4227851724631431E-2</v>
      </c>
      <c r="C17">
        <v>0.43848098850245709</v>
      </c>
      <c r="D17" t="s">
        <v>14</v>
      </c>
      <c r="E17">
        <f t="shared" ref="E17:E21" si="2">B17/0.15</f>
        <v>0.56151901149754291</v>
      </c>
      <c r="F17" t="s">
        <v>26</v>
      </c>
    </row>
    <row r="18" spans="1:6" x14ac:dyDescent="0.45">
      <c r="A18" s="2" t="s">
        <v>17</v>
      </c>
      <c r="B18">
        <v>6.8627450980392135E-2</v>
      </c>
      <c r="C18">
        <v>0.54248366013071903</v>
      </c>
      <c r="D18" t="s">
        <v>16</v>
      </c>
      <c r="E18">
        <f t="shared" si="2"/>
        <v>0.45751633986928092</v>
      </c>
      <c r="F18" t="s">
        <v>26</v>
      </c>
    </row>
    <row r="19" spans="1:6" x14ac:dyDescent="0.45">
      <c r="A19" s="2" t="s">
        <v>18</v>
      </c>
      <c r="B19">
        <v>7.2992700729923587E-4</v>
      </c>
      <c r="C19">
        <v>0.99513381995133843</v>
      </c>
      <c r="D19" t="s">
        <v>19</v>
      </c>
      <c r="E19">
        <f t="shared" si="2"/>
        <v>4.8661800486615725E-3</v>
      </c>
      <c r="F19" t="s">
        <v>26</v>
      </c>
    </row>
    <row r="20" spans="1:6" x14ac:dyDescent="0.45">
      <c r="A20" s="2" t="s">
        <v>20</v>
      </c>
      <c r="B20">
        <v>8.3497924717332195E-2</v>
      </c>
      <c r="C20">
        <v>0.44334716855111872</v>
      </c>
      <c r="D20" t="s">
        <v>14</v>
      </c>
      <c r="E20">
        <f t="shared" si="2"/>
        <v>0.55665283144888134</v>
      </c>
      <c r="F20" t="s">
        <v>26</v>
      </c>
    </row>
    <row r="21" spans="1:6" x14ac:dyDescent="0.45">
      <c r="A21" s="2" t="s">
        <v>21</v>
      </c>
      <c r="B21">
        <v>0.1521253756977243</v>
      </c>
      <c r="C21">
        <v>-1.4169171318162199E-2</v>
      </c>
      <c r="D21" t="s">
        <v>13</v>
      </c>
      <c r="E21">
        <f t="shared" si="2"/>
        <v>1.014169171318162</v>
      </c>
      <c r="F21" t="s">
        <v>25</v>
      </c>
    </row>
    <row r="22" spans="1:6" x14ac:dyDescent="0.45">
      <c r="A22" s="1" t="s">
        <v>22</v>
      </c>
      <c r="B22" s="1" t="s">
        <v>9</v>
      </c>
      <c r="C22" s="1" t="s">
        <v>10</v>
      </c>
      <c r="D22" s="1" t="s">
        <v>11</v>
      </c>
      <c r="E22" s="1" t="s">
        <v>23</v>
      </c>
      <c r="F22" s="1" t="s">
        <v>24</v>
      </c>
    </row>
    <row r="23" spans="1:6" x14ac:dyDescent="0.45">
      <c r="A23" s="2" t="s">
        <v>12</v>
      </c>
      <c r="B23">
        <v>0.15285530270502359</v>
      </c>
      <c r="C23">
        <v>0.2357234864748822</v>
      </c>
      <c r="D23" t="s">
        <v>14</v>
      </c>
      <c r="E23">
        <f>B23/0.2</f>
        <v>0.76427651352511794</v>
      </c>
      <c r="F23" t="s">
        <v>26</v>
      </c>
    </row>
    <row r="24" spans="1:6" x14ac:dyDescent="0.45">
      <c r="A24" s="2" t="s">
        <v>15</v>
      </c>
      <c r="B24">
        <v>8.4227851724631431E-2</v>
      </c>
      <c r="C24">
        <v>0.57886074137684285</v>
      </c>
      <c r="D24" t="s">
        <v>16</v>
      </c>
      <c r="E24">
        <f t="shared" ref="E24:E28" si="3">B24/0.2</f>
        <v>0.42113925862315715</v>
      </c>
      <c r="F24" t="s">
        <v>26</v>
      </c>
    </row>
    <row r="25" spans="1:6" x14ac:dyDescent="0.45">
      <c r="A25" s="2" t="s">
        <v>17</v>
      </c>
      <c r="B25">
        <v>6.8627450980392135E-2</v>
      </c>
      <c r="C25">
        <v>0.65686274509803932</v>
      </c>
      <c r="D25" t="s">
        <v>16</v>
      </c>
      <c r="E25">
        <f t="shared" si="3"/>
        <v>0.34313725490196068</v>
      </c>
      <c r="F25" t="s">
        <v>26</v>
      </c>
    </row>
    <row r="26" spans="1:6" x14ac:dyDescent="0.45">
      <c r="A26" s="2" t="s">
        <v>18</v>
      </c>
      <c r="B26">
        <v>7.2992700729923587E-4</v>
      </c>
      <c r="C26">
        <v>0.99635036496350382</v>
      </c>
      <c r="D26" t="s">
        <v>19</v>
      </c>
      <c r="E26">
        <f t="shared" si="3"/>
        <v>3.6496350364961794E-3</v>
      </c>
      <c r="F26" t="s">
        <v>26</v>
      </c>
    </row>
    <row r="27" spans="1:6" x14ac:dyDescent="0.45">
      <c r="A27" s="2" t="s">
        <v>20</v>
      </c>
      <c r="B27">
        <v>8.3497924717332195E-2</v>
      </c>
      <c r="C27">
        <v>0.58251037641333903</v>
      </c>
      <c r="D27" t="s">
        <v>16</v>
      </c>
      <c r="E27">
        <f t="shared" si="3"/>
        <v>0.41748962358666097</v>
      </c>
      <c r="F27" t="s">
        <v>26</v>
      </c>
    </row>
    <row r="28" spans="1:6" x14ac:dyDescent="0.45">
      <c r="A28" s="2" t="s">
        <v>21</v>
      </c>
      <c r="B28">
        <v>0.1521253756977243</v>
      </c>
      <c r="C28">
        <v>0.23937312151137841</v>
      </c>
      <c r="D28" t="s">
        <v>14</v>
      </c>
      <c r="E28">
        <f t="shared" si="3"/>
        <v>0.76062687848862143</v>
      </c>
      <c r="F2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34B3-16EE-49F6-ADEC-F0B6C8252B79}">
  <dimension ref="A1:F28"/>
  <sheetViews>
    <sheetView topLeftCell="A9" workbookViewId="0">
      <selection activeCell="E1" sqref="E1:F28"/>
    </sheetView>
  </sheetViews>
  <sheetFormatPr defaultRowHeight="14.25" x14ac:dyDescent="0.45"/>
  <cols>
    <col min="1" max="1" width="16.33203125" customWidth="1"/>
    <col min="2" max="2" width="17.46484375" customWidth="1"/>
    <col min="3" max="3" width="15.265625" customWidth="1"/>
    <col min="4" max="4" width="15.86328125" customWidth="1"/>
    <col min="5" max="5" width="13.1328125" customWidth="1"/>
    <col min="6" max="6" width="13.46484375" customWidth="1"/>
  </cols>
  <sheetData>
    <row r="1" spans="1:6" x14ac:dyDescent="0.45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24</v>
      </c>
    </row>
    <row r="2" spans="1:6" x14ac:dyDescent="0.45">
      <c r="A2" s="2" t="s">
        <v>12</v>
      </c>
      <c r="B2">
        <v>0.20309145556032629</v>
      </c>
      <c r="C2">
        <v>-3.0618291112065248</v>
      </c>
      <c r="D2" t="s">
        <v>13</v>
      </c>
      <c r="E2">
        <f>B2/0.05</f>
        <v>4.0618291112065252</v>
      </c>
      <c r="F2" t="s">
        <v>25</v>
      </c>
    </row>
    <row r="3" spans="1:6" x14ac:dyDescent="0.45">
      <c r="A3" s="2" t="s">
        <v>15</v>
      </c>
      <c r="B3">
        <v>0.21943132484137209</v>
      </c>
      <c r="C3">
        <v>-3.3886264968274409</v>
      </c>
      <c r="D3" t="s">
        <v>13</v>
      </c>
      <c r="E3">
        <f t="shared" ref="E3:E7" si="0">B3/0.05</f>
        <v>4.3886264968274418</v>
      </c>
      <c r="F3" t="s">
        <v>25</v>
      </c>
    </row>
    <row r="4" spans="1:6" x14ac:dyDescent="0.45">
      <c r="A4" s="2" t="s">
        <v>17</v>
      </c>
      <c r="B4">
        <v>1.633986928104578E-2</v>
      </c>
      <c r="C4">
        <v>0.67320261437908446</v>
      </c>
      <c r="D4" t="s">
        <v>16</v>
      </c>
      <c r="E4">
        <f t="shared" si="0"/>
        <v>0.32679738562091559</v>
      </c>
      <c r="F4" t="s">
        <v>26</v>
      </c>
    </row>
    <row r="5" spans="1:6" x14ac:dyDescent="0.45">
      <c r="A5" s="2" t="s">
        <v>18</v>
      </c>
      <c r="B5">
        <v>5.8394160583941654E-3</v>
      </c>
      <c r="C5">
        <v>0.88321167883211671</v>
      </c>
      <c r="D5" t="s">
        <v>19</v>
      </c>
      <c r="E5">
        <f t="shared" si="0"/>
        <v>0.1167883211678833</v>
      </c>
      <c r="F5" t="s">
        <v>26</v>
      </c>
    </row>
    <row r="6" spans="1:6" x14ac:dyDescent="0.45">
      <c r="A6" s="2" t="s">
        <v>20</v>
      </c>
      <c r="B6">
        <v>0.2252707408997662</v>
      </c>
      <c r="C6">
        <v>-3.505414817995324</v>
      </c>
      <c r="D6" t="s">
        <v>13</v>
      </c>
      <c r="E6">
        <f t="shared" si="0"/>
        <v>4.505414817995324</v>
      </c>
      <c r="F6" t="s">
        <v>25</v>
      </c>
    </row>
    <row r="7" spans="1:6" x14ac:dyDescent="0.45">
      <c r="A7" s="2" t="s">
        <v>21</v>
      </c>
      <c r="B7">
        <v>0.20893087161872051</v>
      </c>
      <c r="C7">
        <v>-3.1786174323744092</v>
      </c>
      <c r="D7" t="s">
        <v>13</v>
      </c>
      <c r="E7">
        <f t="shared" si="0"/>
        <v>4.1786174323744101</v>
      </c>
      <c r="F7" t="s">
        <v>25</v>
      </c>
    </row>
    <row r="8" spans="1:6" x14ac:dyDescent="0.45">
      <c r="A8" s="1" t="s">
        <v>22</v>
      </c>
      <c r="B8" s="1" t="s">
        <v>3</v>
      </c>
      <c r="C8" s="1" t="s">
        <v>4</v>
      </c>
      <c r="D8" s="1" t="s">
        <v>5</v>
      </c>
      <c r="E8" s="1" t="s">
        <v>23</v>
      </c>
      <c r="F8" s="1" t="s">
        <v>24</v>
      </c>
    </row>
    <row r="9" spans="1:6" x14ac:dyDescent="0.45">
      <c r="A9" s="2" t="s">
        <v>12</v>
      </c>
      <c r="B9">
        <v>0.20309145556032629</v>
      </c>
      <c r="C9">
        <v>-1.0309145556032631</v>
      </c>
      <c r="D9" t="s">
        <v>13</v>
      </c>
      <c r="E9">
        <f>B9/0.1</f>
        <v>2.0309145556032626</v>
      </c>
      <c r="F9" t="s">
        <v>25</v>
      </c>
    </row>
    <row r="10" spans="1:6" x14ac:dyDescent="0.45">
      <c r="A10" s="2" t="s">
        <v>15</v>
      </c>
      <c r="B10">
        <v>0.21943132484137209</v>
      </c>
      <c r="C10">
        <v>-1.19431324841372</v>
      </c>
      <c r="D10" t="s">
        <v>13</v>
      </c>
      <c r="E10">
        <f t="shared" ref="E10:E14" si="1">B10/0.1</f>
        <v>2.1943132484137209</v>
      </c>
      <c r="F10" t="s">
        <v>25</v>
      </c>
    </row>
    <row r="11" spans="1:6" x14ac:dyDescent="0.45">
      <c r="A11" s="2" t="s">
        <v>17</v>
      </c>
      <c r="B11">
        <v>1.633986928104578E-2</v>
      </c>
      <c r="C11">
        <v>0.83660130718954218</v>
      </c>
      <c r="D11" t="s">
        <v>19</v>
      </c>
      <c r="E11">
        <f t="shared" si="1"/>
        <v>0.1633986928104578</v>
      </c>
      <c r="F11" t="s">
        <v>26</v>
      </c>
    </row>
    <row r="12" spans="1:6" x14ac:dyDescent="0.45">
      <c r="A12" s="2" t="s">
        <v>18</v>
      </c>
      <c r="B12">
        <v>5.8394160583941654E-3</v>
      </c>
      <c r="C12">
        <v>0.94160583941605835</v>
      </c>
      <c r="D12" t="s">
        <v>19</v>
      </c>
      <c r="E12">
        <f t="shared" si="1"/>
        <v>5.8394160583941652E-2</v>
      </c>
      <c r="F12" t="s">
        <v>26</v>
      </c>
    </row>
    <row r="13" spans="1:6" x14ac:dyDescent="0.45">
      <c r="A13" s="2" t="s">
        <v>20</v>
      </c>
      <c r="B13">
        <v>0.2252707408997662</v>
      </c>
      <c r="C13">
        <v>-1.252707408997662</v>
      </c>
      <c r="D13" t="s">
        <v>13</v>
      </c>
      <c r="E13">
        <f t="shared" si="1"/>
        <v>2.252707408997662</v>
      </c>
      <c r="F13" t="s">
        <v>25</v>
      </c>
    </row>
    <row r="14" spans="1:6" x14ac:dyDescent="0.45">
      <c r="A14" s="2" t="s">
        <v>21</v>
      </c>
      <c r="B14">
        <v>0.20893087161872051</v>
      </c>
      <c r="C14">
        <v>-1.089308716187205</v>
      </c>
      <c r="D14" t="s">
        <v>13</v>
      </c>
      <c r="E14">
        <f t="shared" si="1"/>
        <v>2.089308716187205</v>
      </c>
      <c r="F14" t="s">
        <v>25</v>
      </c>
    </row>
    <row r="15" spans="1:6" x14ac:dyDescent="0.45">
      <c r="A15" s="1" t="s">
        <v>22</v>
      </c>
      <c r="B15" s="1" t="s">
        <v>6</v>
      </c>
      <c r="C15" s="1" t="s">
        <v>7</v>
      </c>
      <c r="D15" s="1" t="s">
        <v>8</v>
      </c>
      <c r="E15" s="1" t="s">
        <v>23</v>
      </c>
      <c r="F15" s="1" t="s">
        <v>24</v>
      </c>
    </row>
    <row r="16" spans="1:6" x14ac:dyDescent="0.45">
      <c r="A16" s="2" t="s">
        <v>12</v>
      </c>
      <c r="B16">
        <v>0.20309145556032629</v>
      </c>
      <c r="C16">
        <v>-0.35394303706884189</v>
      </c>
      <c r="D16" t="s">
        <v>13</v>
      </c>
      <c r="E16">
        <f>B16/0.15</f>
        <v>1.3539430370688419</v>
      </c>
      <c r="F16" t="s">
        <v>25</v>
      </c>
    </row>
    <row r="17" spans="1:6" x14ac:dyDescent="0.45">
      <c r="A17" s="2" t="s">
        <v>15</v>
      </c>
      <c r="B17">
        <v>0.21943132484137209</v>
      </c>
      <c r="C17">
        <v>-0.46287549894248059</v>
      </c>
      <c r="D17" t="s">
        <v>13</v>
      </c>
      <c r="E17">
        <f t="shared" ref="E17:E21" si="2">B17/0.15</f>
        <v>1.4628754989424806</v>
      </c>
      <c r="F17" t="s">
        <v>25</v>
      </c>
    </row>
    <row r="18" spans="1:6" x14ac:dyDescent="0.45">
      <c r="A18" s="2" t="s">
        <v>17</v>
      </c>
      <c r="B18">
        <v>1.633986928104578E-2</v>
      </c>
      <c r="C18">
        <v>0.89106753812636152</v>
      </c>
      <c r="D18" t="s">
        <v>19</v>
      </c>
      <c r="E18">
        <f t="shared" si="2"/>
        <v>0.10893246187363854</v>
      </c>
      <c r="F18" t="s">
        <v>26</v>
      </c>
    </row>
    <row r="19" spans="1:6" x14ac:dyDescent="0.45">
      <c r="A19" s="2" t="s">
        <v>18</v>
      </c>
      <c r="B19">
        <v>5.8394160583941654E-3</v>
      </c>
      <c r="C19">
        <v>0.96107055961070553</v>
      </c>
      <c r="D19" t="s">
        <v>19</v>
      </c>
      <c r="E19">
        <f t="shared" si="2"/>
        <v>3.892944038929444E-2</v>
      </c>
      <c r="F19" t="s">
        <v>26</v>
      </c>
    </row>
    <row r="20" spans="1:6" x14ac:dyDescent="0.45">
      <c r="A20" s="2" t="s">
        <v>20</v>
      </c>
      <c r="B20">
        <v>0.2252707408997662</v>
      </c>
      <c r="C20">
        <v>-0.50180493933177495</v>
      </c>
      <c r="D20" t="s">
        <v>13</v>
      </c>
      <c r="E20">
        <f t="shared" si="2"/>
        <v>1.5018049393317747</v>
      </c>
      <c r="F20" t="s">
        <v>25</v>
      </c>
    </row>
    <row r="21" spans="1:6" x14ac:dyDescent="0.45">
      <c r="A21" s="2" t="s">
        <v>21</v>
      </c>
      <c r="B21">
        <v>0.20893087161872051</v>
      </c>
      <c r="C21">
        <v>-0.39287247745813653</v>
      </c>
      <c r="D21" t="s">
        <v>13</v>
      </c>
      <c r="E21">
        <f t="shared" si="2"/>
        <v>1.3928724774581367</v>
      </c>
      <c r="F21" t="s">
        <v>25</v>
      </c>
    </row>
    <row r="22" spans="1:6" x14ac:dyDescent="0.45">
      <c r="A22" s="1" t="s">
        <v>22</v>
      </c>
      <c r="B22" s="1" t="s">
        <v>9</v>
      </c>
      <c r="C22" s="1" t="s">
        <v>10</v>
      </c>
      <c r="D22" s="1" t="s">
        <v>11</v>
      </c>
      <c r="E22" s="1" t="s">
        <v>23</v>
      </c>
      <c r="F22" s="1" t="s">
        <v>24</v>
      </c>
    </row>
    <row r="23" spans="1:6" x14ac:dyDescent="0.45">
      <c r="A23" s="2" t="s">
        <v>12</v>
      </c>
      <c r="B23">
        <v>0.20309145556032629</v>
      </c>
      <c r="C23">
        <v>-1.545727780163131E-2</v>
      </c>
      <c r="D23" t="s">
        <v>13</v>
      </c>
      <c r="E23">
        <f>B23/0.2</f>
        <v>1.0154572778016313</v>
      </c>
      <c r="F23" t="s">
        <v>25</v>
      </c>
    </row>
    <row r="24" spans="1:6" x14ac:dyDescent="0.45">
      <c r="A24" s="2" t="s">
        <v>15</v>
      </c>
      <c r="B24">
        <v>0.21943132484137209</v>
      </c>
      <c r="C24">
        <v>-9.715662420686022E-2</v>
      </c>
      <c r="D24" t="s">
        <v>13</v>
      </c>
      <c r="E24">
        <f t="shared" ref="E24:E28" si="3">B24/0.2</f>
        <v>1.0971566242068604</v>
      </c>
      <c r="F24" t="s">
        <v>25</v>
      </c>
    </row>
    <row r="25" spans="1:6" x14ac:dyDescent="0.45">
      <c r="A25" s="2" t="s">
        <v>17</v>
      </c>
      <c r="B25">
        <v>1.633986928104578E-2</v>
      </c>
      <c r="C25">
        <v>0.91830065359477109</v>
      </c>
      <c r="D25" t="s">
        <v>19</v>
      </c>
      <c r="E25">
        <f t="shared" si="3"/>
        <v>8.1699346405228898E-2</v>
      </c>
      <c r="F25" t="s">
        <v>26</v>
      </c>
    </row>
    <row r="26" spans="1:6" x14ac:dyDescent="0.45">
      <c r="A26" s="2" t="s">
        <v>18</v>
      </c>
      <c r="B26">
        <v>5.8394160583941654E-3</v>
      </c>
      <c r="C26">
        <v>0.97080291970802923</v>
      </c>
      <c r="D26" t="s">
        <v>19</v>
      </c>
      <c r="E26">
        <f t="shared" si="3"/>
        <v>2.9197080291970826E-2</v>
      </c>
      <c r="F26" t="s">
        <v>26</v>
      </c>
    </row>
    <row r="27" spans="1:6" x14ac:dyDescent="0.45">
      <c r="A27" s="2" t="s">
        <v>20</v>
      </c>
      <c r="B27">
        <v>0.2252707408997662</v>
      </c>
      <c r="C27">
        <v>-0.12635370449883099</v>
      </c>
      <c r="D27" t="s">
        <v>13</v>
      </c>
      <c r="E27">
        <f t="shared" si="3"/>
        <v>1.126353704498831</v>
      </c>
      <c r="F27" t="s">
        <v>25</v>
      </c>
    </row>
    <row r="28" spans="1:6" x14ac:dyDescent="0.45">
      <c r="A28" s="2" t="s">
        <v>21</v>
      </c>
      <c r="B28">
        <v>0.20893087161872051</v>
      </c>
      <c r="C28">
        <v>-4.4654358093602298E-2</v>
      </c>
      <c r="D28" t="s">
        <v>13</v>
      </c>
      <c r="E28">
        <f t="shared" si="3"/>
        <v>1.0446543580936025</v>
      </c>
      <c r="F28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1231-D49E-48A7-8A81-40CF0123FD49}">
  <dimension ref="A1:F28"/>
  <sheetViews>
    <sheetView topLeftCell="A9" workbookViewId="0">
      <selection activeCell="E1" sqref="E1:F28"/>
    </sheetView>
  </sheetViews>
  <sheetFormatPr defaultRowHeight="14.25" x14ac:dyDescent="0.45"/>
  <cols>
    <col min="1" max="1" width="16.33203125" customWidth="1"/>
    <col min="2" max="2" width="17.1328125" bestFit="1" customWidth="1"/>
    <col min="3" max="3" width="13.9296875" bestFit="1" customWidth="1"/>
    <col min="4" max="4" width="14.59765625" bestFit="1" customWidth="1"/>
    <col min="5" max="6" width="13.86328125" customWidth="1"/>
  </cols>
  <sheetData>
    <row r="1" spans="1:6" x14ac:dyDescent="0.45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24</v>
      </c>
    </row>
    <row r="2" spans="1:6" x14ac:dyDescent="0.45">
      <c r="A2" s="2" t="s">
        <v>12</v>
      </c>
      <c r="B2">
        <v>0.1290322580645161</v>
      </c>
      <c r="C2">
        <v>-1.580645161290323</v>
      </c>
      <c r="D2" t="s">
        <v>13</v>
      </c>
      <c r="E2">
        <f>B2/0.05</f>
        <v>2.5806451612903216</v>
      </c>
      <c r="F2" t="s">
        <v>25</v>
      </c>
    </row>
    <row r="3" spans="1:6" x14ac:dyDescent="0.45">
      <c r="A3" s="2" t="s">
        <v>15</v>
      </c>
      <c r="B3">
        <v>0.23207885304659501</v>
      </c>
      <c r="C3">
        <v>-3.6415770609318998</v>
      </c>
      <c r="D3" t="s">
        <v>13</v>
      </c>
      <c r="E3">
        <f t="shared" ref="E3:E7" si="0">B3/0.05</f>
        <v>4.6415770609319003</v>
      </c>
      <c r="F3" t="s">
        <v>25</v>
      </c>
    </row>
    <row r="4" spans="1:6" x14ac:dyDescent="0.45">
      <c r="A4" s="2" t="s">
        <v>17</v>
      </c>
      <c r="B4">
        <v>0.36111111111111122</v>
      </c>
      <c r="C4">
        <v>-6.2222222222222232</v>
      </c>
      <c r="D4" t="s">
        <v>13</v>
      </c>
      <c r="E4">
        <f t="shared" si="0"/>
        <v>7.2222222222222241</v>
      </c>
      <c r="F4" t="s">
        <v>25</v>
      </c>
    </row>
    <row r="5" spans="1:6" x14ac:dyDescent="0.45">
      <c r="A5" s="2" t="s">
        <v>18</v>
      </c>
      <c r="B5">
        <v>3.1479105571847521E-2</v>
      </c>
      <c r="C5">
        <v>0.37041788856304958</v>
      </c>
      <c r="D5" t="s">
        <v>14</v>
      </c>
      <c r="E5">
        <f t="shared" si="0"/>
        <v>0.62958211143695042</v>
      </c>
      <c r="F5" t="s">
        <v>26</v>
      </c>
    </row>
    <row r="6" spans="1:6" x14ac:dyDescent="0.45">
      <c r="A6" s="2" t="s">
        <v>20</v>
      </c>
      <c r="B6">
        <v>0.20059974747474749</v>
      </c>
      <c r="C6">
        <v>-3.0119949494949498</v>
      </c>
      <c r="D6" t="s">
        <v>13</v>
      </c>
      <c r="E6">
        <f t="shared" si="0"/>
        <v>4.0119949494949498</v>
      </c>
      <c r="F6" t="s">
        <v>25</v>
      </c>
    </row>
    <row r="7" spans="1:6" x14ac:dyDescent="0.45">
      <c r="A7" s="2" t="s">
        <v>21</v>
      </c>
      <c r="B7">
        <v>0.16051136363636359</v>
      </c>
      <c r="C7">
        <v>-2.2102272727272729</v>
      </c>
      <c r="D7" t="s">
        <v>13</v>
      </c>
      <c r="E7">
        <f t="shared" si="0"/>
        <v>3.2102272727272716</v>
      </c>
      <c r="F7" t="s">
        <v>25</v>
      </c>
    </row>
    <row r="8" spans="1:6" x14ac:dyDescent="0.45">
      <c r="A8" s="1" t="s">
        <v>22</v>
      </c>
      <c r="B8" s="1" t="s">
        <v>3</v>
      </c>
      <c r="C8" s="1" t="s">
        <v>4</v>
      </c>
      <c r="D8" s="1" t="s">
        <v>5</v>
      </c>
      <c r="E8" s="1" t="s">
        <v>23</v>
      </c>
      <c r="F8" s="1" t="s">
        <v>24</v>
      </c>
    </row>
    <row r="9" spans="1:6" x14ac:dyDescent="0.45">
      <c r="A9" s="2" t="s">
        <v>12</v>
      </c>
      <c r="B9">
        <v>0.1290322580645161</v>
      </c>
      <c r="C9">
        <v>-0.29032258064516131</v>
      </c>
      <c r="D9" t="s">
        <v>13</v>
      </c>
      <c r="E9">
        <f>B9/0.1</f>
        <v>1.2903225806451608</v>
      </c>
      <c r="F9" t="s">
        <v>25</v>
      </c>
    </row>
    <row r="10" spans="1:6" x14ac:dyDescent="0.45">
      <c r="A10" s="2" t="s">
        <v>15</v>
      </c>
      <c r="B10">
        <v>0.23207885304659501</v>
      </c>
      <c r="C10">
        <v>-1.3207885304659499</v>
      </c>
      <c r="D10" t="s">
        <v>13</v>
      </c>
      <c r="E10">
        <f t="shared" ref="E10:E14" si="1">B10/0.1</f>
        <v>2.3207885304659501</v>
      </c>
      <c r="F10" t="s">
        <v>25</v>
      </c>
    </row>
    <row r="11" spans="1:6" x14ac:dyDescent="0.45">
      <c r="A11" s="2" t="s">
        <v>17</v>
      </c>
      <c r="B11">
        <v>0.36111111111111122</v>
      </c>
      <c r="C11">
        <v>-2.611111111111112</v>
      </c>
      <c r="D11" t="s">
        <v>13</v>
      </c>
      <c r="E11">
        <f t="shared" si="1"/>
        <v>3.611111111111112</v>
      </c>
      <c r="F11" t="s">
        <v>25</v>
      </c>
    </row>
    <row r="12" spans="1:6" x14ac:dyDescent="0.45">
      <c r="A12" s="2" t="s">
        <v>18</v>
      </c>
      <c r="B12">
        <v>3.1479105571847521E-2</v>
      </c>
      <c r="C12">
        <v>0.68520894428152479</v>
      </c>
      <c r="D12" t="s">
        <v>16</v>
      </c>
      <c r="E12">
        <f t="shared" si="1"/>
        <v>0.31479105571847521</v>
      </c>
      <c r="F12" t="s">
        <v>26</v>
      </c>
    </row>
    <row r="13" spans="1:6" x14ac:dyDescent="0.45">
      <c r="A13" s="2" t="s">
        <v>20</v>
      </c>
      <c r="B13">
        <v>0.20059974747474749</v>
      </c>
      <c r="C13">
        <v>-1.0059974747474749</v>
      </c>
      <c r="D13" t="s">
        <v>13</v>
      </c>
      <c r="E13">
        <f t="shared" si="1"/>
        <v>2.0059974747474749</v>
      </c>
      <c r="F13" t="s">
        <v>25</v>
      </c>
    </row>
    <row r="14" spans="1:6" x14ac:dyDescent="0.45">
      <c r="A14" s="2" t="s">
        <v>21</v>
      </c>
      <c r="B14">
        <v>0.16051136363636359</v>
      </c>
      <c r="C14">
        <v>-0.60511363636363646</v>
      </c>
      <c r="D14" t="s">
        <v>13</v>
      </c>
      <c r="E14">
        <f t="shared" si="1"/>
        <v>1.6051136363636358</v>
      </c>
      <c r="F14" t="s">
        <v>25</v>
      </c>
    </row>
    <row r="15" spans="1:6" x14ac:dyDescent="0.45">
      <c r="A15" s="1" t="s">
        <v>22</v>
      </c>
      <c r="B15" s="1" t="s">
        <v>6</v>
      </c>
      <c r="C15" s="1" t="s">
        <v>7</v>
      </c>
      <c r="D15" s="1" t="s">
        <v>8</v>
      </c>
      <c r="E15" s="1" t="s">
        <v>23</v>
      </c>
      <c r="F15" s="1" t="s">
        <v>24</v>
      </c>
    </row>
    <row r="16" spans="1:6" x14ac:dyDescent="0.45">
      <c r="A16" s="2" t="s">
        <v>12</v>
      </c>
      <c r="B16">
        <v>0.1290322580645161</v>
      </c>
      <c r="C16">
        <v>0.1397849462365591</v>
      </c>
      <c r="D16" t="s">
        <v>14</v>
      </c>
      <c r="E16">
        <f>B16/0.15</f>
        <v>0.86021505376344065</v>
      </c>
      <c r="F16" t="s">
        <v>26</v>
      </c>
    </row>
    <row r="17" spans="1:6" x14ac:dyDescent="0.45">
      <c r="A17" s="2" t="s">
        <v>15</v>
      </c>
      <c r="B17">
        <v>0.23207885304659501</v>
      </c>
      <c r="C17">
        <v>-0.5471923536439669</v>
      </c>
      <c r="D17" t="s">
        <v>13</v>
      </c>
      <c r="E17">
        <f t="shared" ref="E17:E21" si="2">B17/0.15</f>
        <v>1.5471923536439667</v>
      </c>
      <c r="F17" t="s">
        <v>25</v>
      </c>
    </row>
    <row r="18" spans="1:6" x14ac:dyDescent="0.45">
      <c r="A18" s="2" t="s">
        <v>17</v>
      </c>
      <c r="B18">
        <v>0.36111111111111122</v>
      </c>
      <c r="C18">
        <v>-1.4074074074074081</v>
      </c>
      <c r="D18" t="s">
        <v>13</v>
      </c>
      <c r="E18">
        <f t="shared" si="2"/>
        <v>2.4074074074074083</v>
      </c>
      <c r="F18" t="s">
        <v>25</v>
      </c>
    </row>
    <row r="19" spans="1:6" x14ac:dyDescent="0.45">
      <c r="A19" s="2" t="s">
        <v>18</v>
      </c>
      <c r="B19">
        <v>3.1479105571847521E-2</v>
      </c>
      <c r="C19">
        <v>0.79013929618768319</v>
      </c>
      <c r="D19" t="s">
        <v>19</v>
      </c>
      <c r="E19">
        <f t="shared" si="2"/>
        <v>0.20986070381231681</v>
      </c>
      <c r="F19" t="s">
        <v>26</v>
      </c>
    </row>
    <row r="20" spans="1:6" x14ac:dyDescent="0.45">
      <c r="A20" s="2" t="s">
        <v>20</v>
      </c>
      <c r="B20">
        <v>0.20059974747474749</v>
      </c>
      <c r="C20">
        <v>-0.33733164983165009</v>
      </c>
      <c r="D20" t="s">
        <v>13</v>
      </c>
      <c r="E20">
        <f t="shared" si="2"/>
        <v>1.3373316498316499</v>
      </c>
      <c r="F20" t="s">
        <v>25</v>
      </c>
    </row>
    <row r="21" spans="1:6" x14ac:dyDescent="0.45">
      <c r="A21" s="2" t="s">
        <v>21</v>
      </c>
      <c r="B21">
        <v>0.16051136363636359</v>
      </c>
      <c r="C21">
        <v>-7.0075757575757791E-2</v>
      </c>
      <c r="D21" t="s">
        <v>13</v>
      </c>
      <c r="E21">
        <f t="shared" si="2"/>
        <v>1.0700757575757573</v>
      </c>
      <c r="F21" t="s">
        <v>25</v>
      </c>
    </row>
    <row r="22" spans="1:6" x14ac:dyDescent="0.45">
      <c r="A22" s="1" t="s">
        <v>22</v>
      </c>
      <c r="B22" s="1" t="s">
        <v>9</v>
      </c>
      <c r="C22" s="1" t="s">
        <v>10</v>
      </c>
      <c r="D22" s="1" t="s">
        <v>11</v>
      </c>
      <c r="E22" s="1" t="s">
        <v>23</v>
      </c>
      <c r="F22" s="1" t="s">
        <v>24</v>
      </c>
    </row>
    <row r="23" spans="1:6" x14ac:dyDescent="0.45">
      <c r="A23" s="2" t="s">
        <v>12</v>
      </c>
      <c r="B23">
        <v>0.1290322580645161</v>
      </c>
      <c r="C23">
        <v>0.35483870967741937</v>
      </c>
      <c r="D23" t="s">
        <v>14</v>
      </c>
      <c r="E23">
        <f>B23/0.2</f>
        <v>0.64516129032258041</v>
      </c>
      <c r="F23" t="s">
        <v>26</v>
      </c>
    </row>
    <row r="24" spans="1:6" x14ac:dyDescent="0.45">
      <c r="A24" s="2" t="s">
        <v>15</v>
      </c>
      <c r="B24">
        <v>0.23207885304659501</v>
      </c>
      <c r="C24">
        <v>-0.16039426523297509</v>
      </c>
      <c r="D24" t="s">
        <v>13</v>
      </c>
      <c r="E24">
        <f t="shared" ref="E24:E28" si="3">B24/0.2</f>
        <v>1.1603942652329751</v>
      </c>
      <c r="F24" t="s">
        <v>25</v>
      </c>
    </row>
    <row r="25" spans="1:6" x14ac:dyDescent="0.45">
      <c r="A25" s="2" t="s">
        <v>17</v>
      </c>
      <c r="B25">
        <v>0.36111111111111122</v>
      </c>
      <c r="C25">
        <v>-0.8055555555555558</v>
      </c>
      <c r="D25" t="s">
        <v>13</v>
      </c>
      <c r="E25">
        <f t="shared" si="3"/>
        <v>1.805555555555556</v>
      </c>
      <c r="F25" t="s">
        <v>25</v>
      </c>
    </row>
    <row r="26" spans="1:6" x14ac:dyDescent="0.45">
      <c r="A26" s="2" t="s">
        <v>18</v>
      </c>
      <c r="B26">
        <v>3.1479105571847521E-2</v>
      </c>
      <c r="C26">
        <v>0.84260447214076239</v>
      </c>
      <c r="D26" t="s">
        <v>19</v>
      </c>
      <c r="E26">
        <f t="shared" si="3"/>
        <v>0.15739552785923761</v>
      </c>
      <c r="F26" t="s">
        <v>26</v>
      </c>
    </row>
    <row r="27" spans="1:6" x14ac:dyDescent="0.45">
      <c r="A27" s="2" t="s">
        <v>20</v>
      </c>
      <c r="B27">
        <v>0.20059974747474749</v>
      </c>
      <c r="C27">
        <v>-2.998737373737459E-3</v>
      </c>
      <c r="D27" t="s">
        <v>13</v>
      </c>
      <c r="E27">
        <f t="shared" si="3"/>
        <v>1.0029987373737375</v>
      </c>
      <c r="F27" t="s">
        <v>25</v>
      </c>
    </row>
    <row r="28" spans="1:6" x14ac:dyDescent="0.45">
      <c r="A28" s="2" t="s">
        <v>21</v>
      </c>
      <c r="B28">
        <v>0.16051136363636359</v>
      </c>
      <c r="C28">
        <v>0.1974431818181818</v>
      </c>
      <c r="D28" t="s">
        <v>14</v>
      </c>
      <c r="E28">
        <f t="shared" si="3"/>
        <v>0.8025568181818179</v>
      </c>
      <c r="F28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C53AA-29E9-4FA0-A6C1-7B2B45F32ACF}">
  <dimension ref="A1:F28"/>
  <sheetViews>
    <sheetView topLeftCell="A9" workbookViewId="0">
      <selection activeCell="E1" sqref="E1:F28"/>
    </sheetView>
  </sheetViews>
  <sheetFormatPr defaultRowHeight="14.25" x14ac:dyDescent="0.45"/>
  <cols>
    <col min="1" max="1" width="22.59765625" customWidth="1"/>
    <col min="2" max="2" width="17.1328125" bestFit="1" customWidth="1"/>
    <col min="3" max="3" width="13.9296875" bestFit="1" customWidth="1"/>
    <col min="4" max="4" width="14.59765625" bestFit="1" customWidth="1"/>
    <col min="5" max="5" width="12.3984375" customWidth="1"/>
    <col min="6" max="6" width="13.19921875" customWidth="1"/>
  </cols>
  <sheetData>
    <row r="1" spans="1:6" x14ac:dyDescent="0.45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24</v>
      </c>
    </row>
    <row r="2" spans="1:6" x14ac:dyDescent="0.45">
      <c r="A2" s="2" t="s">
        <v>12</v>
      </c>
      <c r="B2">
        <v>0.16918238993710691</v>
      </c>
      <c r="C2">
        <v>-2.3836477987421381</v>
      </c>
      <c r="D2" t="s">
        <v>13</v>
      </c>
      <c r="E2">
        <f>B2/0.05</f>
        <v>3.3836477987421381</v>
      </c>
      <c r="F2" t="s">
        <v>25</v>
      </c>
    </row>
    <row r="3" spans="1:6" x14ac:dyDescent="0.45">
      <c r="A3" s="2" t="s">
        <v>15</v>
      </c>
      <c r="B3">
        <v>0.13955276030747721</v>
      </c>
      <c r="C3">
        <v>-1.7910552061495439</v>
      </c>
      <c r="D3" t="s">
        <v>13</v>
      </c>
      <c r="E3">
        <f t="shared" ref="E3:E7" si="0">B3/0.05</f>
        <v>2.7910552061495442</v>
      </c>
      <c r="F3" t="s">
        <v>25</v>
      </c>
    </row>
    <row r="4" spans="1:6" x14ac:dyDescent="0.45">
      <c r="A4" s="2" t="s">
        <v>17</v>
      </c>
      <c r="B4">
        <v>2.9629629629629669E-2</v>
      </c>
      <c r="C4">
        <v>0.40740740740740661</v>
      </c>
      <c r="D4" t="s">
        <v>14</v>
      </c>
      <c r="E4">
        <f t="shared" si="0"/>
        <v>0.59259259259259334</v>
      </c>
      <c r="F4" t="s">
        <v>26</v>
      </c>
    </row>
    <row r="5" spans="1:6" x14ac:dyDescent="0.45">
      <c r="A5" s="2" t="s">
        <v>18</v>
      </c>
      <c r="B5">
        <v>7.4600585684100329E-3</v>
      </c>
      <c r="C5">
        <v>0.85079882863179934</v>
      </c>
      <c r="D5" t="s">
        <v>19</v>
      </c>
      <c r="E5">
        <f t="shared" si="0"/>
        <v>0.14920117136820066</v>
      </c>
      <c r="F5" t="s">
        <v>26</v>
      </c>
    </row>
    <row r="6" spans="1:6" x14ac:dyDescent="0.45">
      <c r="A6" s="2" t="s">
        <v>20</v>
      </c>
      <c r="B6">
        <v>0.1320927017390672</v>
      </c>
      <c r="C6">
        <v>-1.641854034781344</v>
      </c>
      <c r="D6" t="s">
        <v>13</v>
      </c>
      <c r="E6">
        <f t="shared" si="0"/>
        <v>2.641854034781344</v>
      </c>
      <c r="F6" t="s">
        <v>25</v>
      </c>
    </row>
    <row r="7" spans="1:6" x14ac:dyDescent="0.45">
      <c r="A7" s="2" t="s">
        <v>21</v>
      </c>
      <c r="B7">
        <v>0.16172233136869679</v>
      </c>
      <c r="C7">
        <v>-2.234446627373937</v>
      </c>
      <c r="D7" t="s">
        <v>13</v>
      </c>
      <c r="E7">
        <f t="shared" si="0"/>
        <v>3.2344466273739356</v>
      </c>
      <c r="F7" t="s">
        <v>25</v>
      </c>
    </row>
    <row r="8" spans="1:6" x14ac:dyDescent="0.45">
      <c r="A8" s="1" t="s">
        <v>22</v>
      </c>
      <c r="B8" s="1" t="s">
        <v>3</v>
      </c>
      <c r="C8" s="1" t="s">
        <v>4</v>
      </c>
      <c r="D8" s="1" t="s">
        <v>5</v>
      </c>
      <c r="E8" s="1" t="s">
        <v>23</v>
      </c>
      <c r="F8" s="1" t="s">
        <v>24</v>
      </c>
    </row>
    <row r="9" spans="1:6" x14ac:dyDescent="0.45">
      <c r="A9" s="2" t="s">
        <v>12</v>
      </c>
      <c r="B9">
        <v>0.16918238993710691</v>
      </c>
      <c r="C9">
        <v>-0.69182389937106881</v>
      </c>
      <c r="D9" t="s">
        <v>13</v>
      </c>
      <c r="E9">
        <f>B9/0.1</f>
        <v>1.691823899371069</v>
      </c>
      <c r="F9" t="s">
        <v>25</v>
      </c>
    </row>
    <row r="10" spans="1:6" x14ac:dyDescent="0.45">
      <c r="A10" s="2" t="s">
        <v>15</v>
      </c>
      <c r="B10">
        <v>0.13955276030747721</v>
      </c>
      <c r="C10">
        <v>-0.39552760307477208</v>
      </c>
      <c r="D10" t="s">
        <v>13</v>
      </c>
      <c r="E10">
        <f t="shared" ref="E10:E14" si="1">B10/0.1</f>
        <v>1.3955276030747721</v>
      </c>
      <c r="F10" t="s">
        <v>25</v>
      </c>
    </row>
    <row r="11" spans="1:6" x14ac:dyDescent="0.45">
      <c r="A11" s="2" t="s">
        <v>17</v>
      </c>
      <c r="B11">
        <v>2.9629629629629669E-2</v>
      </c>
      <c r="C11">
        <v>0.70370370370370328</v>
      </c>
      <c r="D11" t="s">
        <v>16</v>
      </c>
      <c r="E11">
        <f t="shared" si="1"/>
        <v>0.29629629629629667</v>
      </c>
      <c r="F11" t="s">
        <v>26</v>
      </c>
    </row>
    <row r="12" spans="1:6" x14ac:dyDescent="0.45">
      <c r="A12" s="2" t="s">
        <v>18</v>
      </c>
      <c r="B12">
        <v>7.4600585684100329E-3</v>
      </c>
      <c r="C12">
        <v>0.92539941431589967</v>
      </c>
      <c r="D12" t="s">
        <v>19</v>
      </c>
      <c r="E12">
        <f t="shared" si="1"/>
        <v>7.4600585684100329E-2</v>
      </c>
      <c r="F12" t="s">
        <v>26</v>
      </c>
    </row>
    <row r="13" spans="1:6" x14ac:dyDescent="0.45">
      <c r="A13" s="2" t="s">
        <v>20</v>
      </c>
      <c r="B13">
        <v>0.1320927017390672</v>
      </c>
      <c r="C13">
        <v>-0.32092701739067181</v>
      </c>
      <c r="D13" t="s">
        <v>13</v>
      </c>
      <c r="E13">
        <f t="shared" si="1"/>
        <v>1.320927017390672</v>
      </c>
      <c r="F13" t="s">
        <v>25</v>
      </c>
    </row>
    <row r="14" spans="1:6" x14ac:dyDescent="0.45">
      <c r="A14" s="2" t="s">
        <v>21</v>
      </c>
      <c r="B14">
        <v>0.16172233136869679</v>
      </c>
      <c r="C14">
        <v>-0.61722331368696848</v>
      </c>
      <c r="D14" t="s">
        <v>13</v>
      </c>
      <c r="E14">
        <f t="shared" si="1"/>
        <v>1.6172233136869678</v>
      </c>
      <c r="F14" t="s">
        <v>25</v>
      </c>
    </row>
    <row r="15" spans="1:6" x14ac:dyDescent="0.45">
      <c r="A15" s="1" t="s">
        <v>22</v>
      </c>
      <c r="B15" s="1" t="s">
        <v>6</v>
      </c>
      <c r="C15" s="1" t="s">
        <v>7</v>
      </c>
      <c r="D15" s="1" t="s">
        <v>8</v>
      </c>
      <c r="E15" s="1" t="s">
        <v>23</v>
      </c>
      <c r="F15" s="1" t="s">
        <v>24</v>
      </c>
    </row>
    <row r="16" spans="1:6" x14ac:dyDescent="0.45">
      <c r="A16" s="2" t="s">
        <v>12</v>
      </c>
      <c r="B16">
        <v>0.16918238993710691</v>
      </c>
      <c r="C16">
        <v>-0.12788259958071271</v>
      </c>
      <c r="D16" t="s">
        <v>13</v>
      </c>
      <c r="E16">
        <f>B16/0.15</f>
        <v>1.1278825995807127</v>
      </c>
      <c r="F16" t="s">
        <v>26</v>
      </c>
    </row>
    <row r="17" spans="1:6" x14ac:dyDescent="0.45">
      <c r="A17" s="2" t="s">
        <v>15</v>
      </c>
      <c r="B17">
        <v>0.13955276030747721</v>
      </c>
      <c r="C17">
        <v>6.9648264616818611E-2</v>
      </c>
      <c r="D17" t="s">
        <v>14</v>
      </c>
      <c r="E17">
        <f t="shared" ref="E17:E21" si="2">B17/0.15</f>
        <v>0.93035173538318139</v>
      </c>
      <c r="F17" t="s">
        <v>26</v>
      </c>
    </row>
    <row r="18" spans="1:6" x14ac:dyDescent="0.45">
      <c r="A18" s="2" t="s">
        <v>17</v>
      </c>
      <c r="B18">
        <v>2.9629629629629669E-2</v>
      </c>
      <c r="C18">
        <v>0.80246913580246881</v>
      </c>
      <c r="D18" t="s">
        <v>19</v>
      </c>
      <c r="E18">
        <f t="shared" si="2"/>
        <v>0.19753086419753113</v>
      </c>
      <c r="F18" t="s">
        <v>26</v>
      </c>
    </row>
    <row r="19" spans="1:6" x14ac:dyDescent="0.45">
      <c r="A19" s="2" t="s">
        <v>18</v>
      </c>
      <c r="B19">
        <v>7.4600585684100329E-3</v>
      </c>
      <c r="C19">
        <v>0.95026627621059978</v>
      </c>
      <c r="D19" t="s">
        <v>19</v>
      </c>
      <c r="E19">
        <f t="shared" si="2"/>
        <v>4.9733723789400219E-2</v>
      </c>
      <c r="F19" t="s">
        <v>26</v>
      </c>
    </row>
    <row r="20" spans="1:6" x14ac:dyDescent="0.45">
      <c r="A20" s="2" t="s">
        <v>20</v>
      </c>
      <c r="B20">
        <v>0.1320927017390672</v>
      </c>
      <c r="C20">
        <v>0.1193819884062188</v>
      </c>
      <c r="D20" t="s">
        <v>14</v>
      </c>
      <c r="E20">
        <f t="shared" si="2"/>
        <v>0.88061801159378139</v>
      </c>
      <c r="F20" t="s">
        <v>26</v>
      </c>
    </row>
    <row r="21" spans="1:6" x14ac:dyDescent="0.45">
      <c r="A21" s="2" t="s">
        <v>21</v>
      </c>
      <c r="B21">
        <v>0.16172233136869679</v>
      </c>
      <c r="C21">
        <v>-7.8148875791312467E-2</v>
      </c>
      <c r="D21" t="s">
        <v>13</v>
      </c>
      <c r="E21">
        <f t="shared" si="2"/>
        <v>1.078148875791312</v>
      </c>
      <c r="F21" t="s">
        <v>25</v>
      </c>
    </row>
    <row r="22" spans="1:6" x14ac:dyDescent="0.45">
      <c r="A22" s="1" t="s">
        <v>22</v>
      </c>
      <c r="B22" s="1" t="s">
        <v>9</v>
      </c>
      <c r="C22" s="1" t="s">
        <v>10</v>
      </c>
      <c r="D22" s="1" t="s">
        <v>11</v>
      </c>
      <c r="E22" s="1" t="s">
        <v>23</v>
      </c>
      <c r="F22" s="1" t="s">
        <v>24</v>
      </c>
    </row>
    <row r="23" spans="1:6" x14ac:dyDescent="0.45">
      <c r="A23" s="2" t="s">
        <v>12</v>
      </c>
      <c r="B23">
        <v>0.16918238993710691</v>
      </c>
      <c r="C23">
        <v>0.1540880503144656</v>
      </c>
      <c r="D23" t="s">
        <v>14</v>
      </c>
      <c r="E23">
        <f>B23/0.2</f>
        <v>0.84591194968553451</v>
      </c>
      <c r="F23" t="s">
        <v>26</v>
      </c>
    </row>
    <row r="24" spans="1:6" x14ac:dyDescent="0.45">
      <c r="A24" s="2" t="s">
        <v>15</v>
      </c>
      <c r="B24">
        <v>0.13955276030747721</v>
      </c>
      <c r="C24">
        <v>0.30223619846261401</v>
      </c>
      <c r="D24" t="s">
        <v>14</v>
      </c>
      <c r="E24">
        <f t="shared" ref="E24:E28" si="3">B24/0.2</f>
        <v>0.69776380153738604</v>
      </c>
      <c r="F24" t="s">
        <v>26</v>
      </c>
    </row>
    <row r="25" spans="1:6" x14ac:dyDescent="0.45">
      <c r="A25" s="2" t="s">
        <v>17</v>
      </c>
      <c r="B25">
        <v>2.9629629629629669E-2</v>
      </c>
      <c r="C25">
        <v>0.85185185185185164</v>
      </c>
      <c r="D25" t="s">
        <v>19</v>
      </c>
      <c r="E25">
        <f t="shared" si="3"/>
        <v>0.14814814814814833</v>
      </c>
      <c r="F25" t="s">
        <v>26</v>
      </c>
    </row>
    <row r="26" spans="1:6" x14ac:dyDescent="0.45">
      <c r="A26" s="2" t="s">
        <v>18</v>
      </c>
      <c r="B26">
        <v>7.4600585684100329E-3</v>
      </c>
      <c r="C26">
        <v>0.96269970715794984</v>
      </c>
      <c r="D26" t="s">
        <v>19</v>
      </c>
      <c r="E26">
        <f t="shared" si="3"/>
        <v>3.7300292842050164E-2</v>
      </c>
      <c r="F26" t="s">
        <v>26</v>
      </c>
    </row>
    <row r="27" spans="1:6" x14ac:dyDescent="0.45">
      <c r="A27" s="2" t="s">
        <v>20</v>
      </c>
      <c r="B27">
        <v>0.1320927017390672</v>
      </c>
      <c r="C27">
        <v>0.33953649130466412</v>
      </c>
      <c r="D27" t="s">
        <v>14</v>
      </c>
      <c r="E27">
        <f t="shared" si="3"/>
        <v>0.66046350869533599</v>
      </c>
      <c r="F27" t="s">
        <v>26</v>
      </c>
    </row>
    <row r="28" spans="1:6" x14ac:dyDescent="0.45">
      <c r="A28" s="2" t="s">
        <v>21</v>
      </c>
      <c r="B28">
        <v>0.16172233136869679</v>
      </c>
      <c r="C28">
        <v>0.19138834315651579</v>
      </c>
      <c r="D28" t="s">
        <v>14</v>
      </c>
      <c r="E28">
        <f t="shared" si="3"/>
        <v>0.80861165684348391</v>
      </c>
      <c r="F28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FF1B-72D2-4201-90E5-7B2D830BCFB1}">
  <dimension ref="A1:F28"/>
  <sheetViews>
    <sheetView tabSelected="1" workbookViewId="0">
      <selection sqref="A1:F28"/>
    </sheetView>
  </sheetViews>
  <sheetFormatPr defaultRowHeight="14.25" x14ac:dyDescent="0.45"/>
  <cols>
    <col min="1" max="1" width="12.59765625" customWidth="1"/>
    <col min="2" max="2" width="17.1328125" bestFit="1" customWidth="1"/>
    <col min="3" max="3" width="13.9296875" bestFit="1" customWidth="1"/>
    <col min="4" max="4" width="14.59765625" bestFit="1" customWidth="1"/>
    <col min="5" max="5" width="11.73046875" bestFit="1" customWidth="1"/>
    <col min="6" max="6" width="11.46484375" bestFit="1" customWidth="1"/>
  </cols>
  <sheetData>
    <row r="1" spans="1:6" x14ac:dyDescent="0.45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24</v>
      </c>
    </row>
    <row r="2" spans="1:6" x14ac:dyDescent="0.45">
      <c r="A2" s="2" t="s">
        <v>12</v>
      </c>
      <c r="B2">
        <v>0.16918238993710691</v>
      </c>
      <c r="C2">
        <v>-2.3836477987421389</v>
      </c>
      <c r="D2" t="s">
        <v>13</v>
      </c>
      <c r="E2">
        <f>B2/0.05</f>
        <v>3.3836477987421381</v>
      </c>
      <c r="F2" t="s">
        <v>25</v>
      </c>
    </row>
    <row r="3" spans="1:6" x14ac:dyDescent="0.45">
      <c r="A3" s="2" t="s">
        <v>15</v>
      </c>
      <c r="B3">
        <v>0.13955276030747729</v>
      </c>
      <c r="C3">
        <v>-1.7910552061495451</v>
      </c>
      <c r="D3" t="s">
        <v>13</v>
      </c>
      <c r="E3">
        <f t="shared" ref="E3:E7" si="0">B3/0.05</f>
        <v>2.7910552061495455</v>
      </c>
      <c r="F3" t="s">
        <v>25</v>
      </c>
    </row>
    <row r="4" spans="1:6" x14ac:dyDescent="0.45">
      <c r="A4" s="2" t="s">
        <v>17</v>
      </c>
      <c r="B4">
        <v>2.9629629629629631E-2</v>
      </c>
      <c r="C4">
        <v>0.40740740740740738</v>
      </c>
      <c r="D4" t="s">
        <v>14</v>
      </c>
      <c r="E4">
        <f t="shared" si="0"/>
        <v>0.59259259259259256</v>
      </c>
      <c r="F4" t="s">
        <v>26</v>
      </c>
    </row>
    <row r="5" spans="1:6" x14ac:dyDescent="0.45">
      <c r="A5" s="2" t="s">
        <v>18</v>
      </c>
      <c r="B5">
        <v>7.4600585684101439E-3</v>
      </c>
      <c r="C5">
        <v>0.85079882863179712</v>
      </c>
      <c r="D5" t="s">
        <v>19</v>
      </c>
      <c r="E5">
        <f t="shared" si="0"/>
        <v>0.14920117136820288</v>
      </c>
      <c r="F5" t="s">
        <v>26</v>
      </c>
    </row>
    <row r="6" spans="1:6" x14ac:dyDescent="0.45">
      <c r="A6" s="2" t="s">
        <v>20</v>
      </c>
      <c r="B6">
        <v>0.13209270173906709</v>
      </c>
      <c r="C6">
        <v>-1.6418540347813431</v>
      </c>
      <c r="D6" t="s">
        <v>13</v>
      </c>
      <c r="E6">
        <f t="shared" si="0"/>
        <v>2.6418540347813417</v>
      </c>
      <c r="F6" t="s">
        <v>25</v>
      </c>
    </row>
    <row r="7" spans="1:6" x14ac:dyDescent="0.45">
      <c r="A7" s="2" t="s">
        <v>21</v>
      </c>
      <c r="B7">
        <v>0.16172233136869679</v>
      </c>
      <c r="C7">
        <v>-2.2344466273739361</v>
      </c>
      <c r="D7" t="s">
        <v>13</v>
      </c>
      <c r="E7">
        <f t="shared" si="0"/>
        <v>3.2344466273739356</v>
      </c>
      <c r="F7" t="s">
        <v>25</v>
      </c>
    </row>
    <row r="8" spans="1:6" x14ac:dyDescent="0.45">
      <c r="A8" s="1" t="s">
        <v>22</v>
      </c>
      <c r="B8" s="1" t="s">
        <v>3</v>
      </c>
      <c r="C8" s="1" t="s">
        <v>4</v>
      </c>
      <c r="D8" s="1" t="s">
        <v>5</v>
      </c>
      <c r="E8" s="1" t="s">
        <v>23</v>
      </c>
      <c r="F8" s="1" t="s">
        <v>24</v>
      </c>
    </row>
    <row r="9" spans="1:6" x14ac:dyDescent="0.45">
      <c r="A9" s="2" t="s">
        <v>12</v>
      </c>
      <c r="B9">
        <v>0.16918238993710691</v>
      </c>
      <c r="C9">
        <v>-0.69182389937106925</v>
      </c>
      <c r="D9" t="s">
        <v>13</v>
      </c>
      <c r="E9">
        <f>B9/0.1</f>
        <v>1.691823899371069</v>
      </c>
      <c r="F9" t="s">
        <v>25</v>
      </c>
    </row>
    <row r="10" spans="1:6" x14ac:dyDescent="0.45">
      <c r="A10" s="2" t="s">
        <v>15</v>
      </c>
      <c r="B10">
        <v>0.13955276030747729</v>
      </c>
      <c r="C10">
        <v>-0.39552760307477269</v>
      </c>
      <c r="D10" t="s">
        <v>13</v>
      </c>
      <c r="E10">
        <f t="shared" ref="E10:E14" si="1">B10/0.1</f>
        <v>1.3955276030747727</v>
      </c>
      <c r="F10" t="s">
        <v>25</v>
      </c>
    </row>
    <row r="11" spans="1:6" x14ac:dyDescent="0.45">
      <c r="A11" s="2" t="s">
        <v>17</v>
      </c>
      <c r="B11">
        <v>2.9629629629629631E-2</v>
      </c>
      <c r="C11">
        <v>0.70370370370370372</v>
      </c>
      <c r="D11" t="s">
        <v>16</v>
      </c>
      <c r="E11">
        <f t="shared" si="1"/>
        <v>0.29629629629629628</v>
      </c>
      <c r="F11" t="s">
        <v>26</v>
      </c>
    </row>
    <row r="12" spans="1:6" x14ac:dyDescent="0.45">
      <c r="A12" s="2" t="s">
        <v>18</v>
      </c>
      <c r="B12">
        <v>7.4600585684101439E-3</v>
      </c>
      <c r="C12">
        <v>0.92539941431589856</v>
      </c>
      <c r="D12" t="s">
        <v>19</v>
      </c>
      <c r="E12">
        <f t="shared" si="1"/>
        <v>7.4600585684101439E-2</v>
      </c>
      <c r="F12" t="s">
        <v>26</v>
      </c>
    </row>
    <row r="13" spans="1:6" x14ac:dyDescent="0.45">
      <c r="A13" s="2" t="s">
        <v>20</v>
      </c>
      <c r="B13">
        <v>0.13209270173906709</v>
      </c>
      <c r="C13">
        <v>-0.32092701739067131</v>
      </c>
      <c r="D13" t="s">
        <v>13</v>
      </c>
      <c r="E13">
        <f t="shared" si="1"/>
        <v>1.3209270173906709</v>
      </c>
      <c r="F13" t="s">
        <v>25</v>
      </c>
    </row>
    <row r="14" spans="1:6" x14ac:dyDescent="0.45">
      <c r="A14" s="2" t="s">
        <v>21</v>
      </c>
      <c r="B14">
        <v>0.16172233136869679</v>
      </c>
      <c r="C14">
        <v>-0.61722331368696781</v>
      </c>
      <c r="D14" t="s">
        <v>13</v>
      </c>
      <c r="E14">
        <f t="shared" si="1"/>
        <v>1.6172233136869678</v>
      </c>
      <c r="F14" t="s">
        <v>25</v>
      </c>
    </row>
    <row r="15" spans="1:6" x14ac:dyDescent="0.45">
      <c r="A15" s="1" t="s">
        <v>22</v>
      </c>
      <c r="B15" s="1" t="s">
        <v>6</v>
      </c>
      <c r="C15" s="1" t="s">
        <v>7</v>
      </c>
      <c r="D15" s="1" t="s">
        <v>8</v>
      </c>
      <c r="E15" s="1" t="s">
        <v>23</v>
      </c>
      <c r="F15" s="1" t="s">
        <v>24</v>
      </c>
    </row>
    <row r="16" spans="1:6" x14ac:dyDescent="0.45">
      <c r="A16" s="2" t="s">
        <v>12</v>
      </c>
      <c r="B16">
        <v>0.16918238993710691</v>
      </c>
      <c r="C16">
        <v>-0.12788259958071291</v>
      </c>
      <c r="D16" t="s">
        <v>13</v>
      </c>
      <c r="E16">
        <f>B16/0.15</f>
        <v>1.1278825995807127</v>
      </c>
      <c r="F16" t="s">
        <v>25</v>
      </c>
    </row>
    <row r="17" spans="1:6" x14ac:dyDescent="0.45">
      <c r="A17" s="2" t="s">
        <v>15</v>
      </c>
      <c r="B17">
        <v>0.13955276030747729</v>
      </c>
      <c r="C17">
        <v>6.9648264616818056E-2</v>
      </c>
      <c r="D17" t="s">
        <v>14</v>
      </c>
      <c r="E17">
        <f t="shared" ref="E17:E21" si="2">B17/0.15</f>
        <v>0.93035173538318194</v>
      </c>
      <c r="F17" t="s">
        <v>26</v>
      </c>
    </row>
    <row r="18" spans="1:6" x14ac:dyDescent="0.45">
      <c r="A18" s="2" t="s">
        <v>17</v>
      </c>
      <c r="B18">
        <v>2.9629629629629631E-2</v>
      </c>
      <c r="C18">
        <v>0.80246913580246915</v>
      </c>
      <c r="D18" t="s">
        <v>19</v>
      </c>
      <c r="E18">
        <f t="shared" si="2"/>
        <v>0.19753086419753088</v>
      </c>
      <c r="F18" t="s">
        <v>26</v>
      </c>
    </row>
    <row r="19" spans="1:6" x14ac:dyDescent="0.45">
      <c r="A19" s="2" t="s">
        <v>18</v>
      </c>
      <c r="B19">
        <v>7.4600585684101439E-3</v>
      </c>
      <c r="C19">
        <v>0.950266276210599</v>
      </c>
      <c r="D19" t="s">
        <v>19</v>
      </c>
      <c r="E19">
        <f t="shared" si="2"/>
        <v>4.9733723789400962E-2</v>
      </c>
      <c r="F19" t="s">
        <v>26</v>
      </c>
    </row>
    <row r="20" spans="1:6" x14ac:dyDescent="0.45">
      <c r="A20" s="2" t="s">
        <v>20</v>
      </c>
      <c r="B20">
        <v>0.13209270173906709</v>
      </c>
      <c r="C20">
        <v>0.1193819884062189</v>
      </c>
      <c r="D20" t="s">
        <v>14</v>
      </c>
      <c r="E20">
        <f t="shared" si="2"/>
        <v>0.88061801159378061</v>
      </c>
      <c r="F20" t="s">
        <v>26</v>
      </c>
    </row>
    <row r="21" spans="1:6" x14ac:dyDescent="0.45">
      <c r="A21" s="2" t="s">
        <v>21</v>
      </c>
      <c r="B21">
        <v>0.16172233136869679</v>
      </c>
      <c r="C21">
        <v>-7.8148875791312022E-2</v>
      </c>
      <c r="D21" t="s">
        <v>13</v>
      </c>
      <c r="E21">
        <f t="shared" si="2"/>
        <v>1.078148875791312</v>
      </c>
      <c r="F21" t="s">
        <v>25</v>
      </c>
    </row>
    <row r="22" spans="1:6" x14ac:dyDescent="0.45">
      <c r="A22" s="1" t="s">
        <v>22</v>
      </c>
      <c r="B22" s="1" t="s">
        <v>9</v>
      </c>
      <c r="C22" s="1" t="s">
        <v>10</v>
      </c>
      <c r="D22" s="1" t="s">
        <v>11</v>
      </c>
      <c r="E22" s="1" t="s">
        <v>23</v>
      </c>
      <c r="F22" s="1" t="s">
        <v>24</v>
      </c>
    </row>
    <row r="23" spans="1:6" x14ac:dyDescent="0.45">
      <c r="A23" s="2" t="s">
        <v>12</v>
      </c>
      <c r="B23">
        <v>0.16918238993710691</v>
      </c>
      <c r="C23">
        <v>0.1540880503144654</v>
      </c>
      <c r="D23" t="s">
        <v>14</v>
      </c>
      <c r="E23">
        <f>B23/0.2</f>
        <v>0.84591194968553451</v>
      </c>
      <c r="F23" t="s">
        <v>26</v>
      </c>
    </row>
    <row r="24" spans="1:6" x14ac:dyDescent="0.45">
      <c r="A24" s="2" t="s">
        <v>15</v>
      </c>
      <c r="B24">
        <v>0.13955276030747729</v>
      </c>
      <c r="C24">
        <v>0.30223619846261363</v>
      </c>
      <c r="D24" t="s">
        <v>14</v>
      </c>
      <c r="E24">
        <f t="shared" ref="E24:E28" si="3">B24/0.2</f>
        <v>0.69776380153738637</v>
      </c>
      <c r="F24" t="s">
        <v>26</v>
      </c>
    </row>
    <row r="25" spans="1:6" x14ac:dyDescent="0.45">
      <c r="A25" s="2" t="s">
        <v>17</v>
      </c>
      <c r="B25">
        <v>2.9629629629629631E-2</v>
      </c>
      <c r="C25">
        <v>0.85185185185185186</v>
      </c>
      <c r="D25" t="s">
        <v>19</v>
      </c>
      <c r="E25">
        <f t="shared" si="3"/>
        <v>0.14814814814814814</v>
      </c>
      <c r="F25" t="s">
        <v>26</v>
      </c>
    </row>
    <row r="26" spans="1:6" x14ac:dyDescent="0.45">
      <c r="A26" s="2" t="s">
        <v>18</v>
      </c>
      <c r="B26">
        <v>7.4600585684101439E-3</v>
      </c>
      <c r="C26">
        <v>0.96269970715794928</v>
      </c>
      <c r="D26" t="s">
        <v>19</v>
      </c>
      <c r="E26">
        <f t="shared" si="3"/>
        <v>3.730029284205072E-2</v>
      </c>
      <c r="F26" t="s">
        <v>26</v>
      </c>
    </row>
    <row r="27" spans="1:6" x14ac:dyDescent="0.45">
      <c r="A27" s="2" t="s">
        <v>20</v>
      </c>
      <c r="B27">
        <v>0.13209270173906709</v>
      </c>
      <c r="C27">
        <v>0.33953649130466429</v>
      </c>
      <c r="D27" t="s">
        <v>14</v>
      </c>
      <c r="E27">
        <f t="shared" si="3"/>
        <v>0.66046350869533543</v>
      </c>
      <c r="F27" t="s">
        <v>26</v>
      </c>
    </row>
    <row r="28" spans="1:6" x14ac:dyDescent="0.45">
      <c r="A28" s="2" t="s">
        <v>21</v>
      </c>
      <c r="B28">
        <v>0.16172233136869679</v>
      </c>
      <c r="C28">
        <v>0.19138834315651609</v>
      </c>
      <c r="D28" t="s">
        <v>14</v>
      </c>
      <c r="E28">
        <f t="shared" si="3"/>
        <v>0.80861165684348391</v>
      </c>
      <c r="F28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FA0B-569F-444F-B436-BC47A80CE1C8}">
  <dimension ref="A1:F28"/>
  <sheetViews>
    <sheetView topLeftCell="A9" workbookViewId="0">
      <selection activeCell="E1" sqref="E1:F28"/>
    </sheetView>
  </sheetViews>
  <sheetFormatPr defaultRowHeight="14.25" x14ac:dyDescent="0.45"/>
  <cols>
    <col min="1" max="1" width="12.796875" customWidth="1"/>
    <col min="2" max="2" width="17.1328125" bestFit="1" customWidth="1"/>
    <col min="3" max="3" width="13.9296875" bestFit="1" customWidth="1"/>
    <col min="4" max="4" width="14.59765625" bestFit="1" customWidth="1"/>
    <col min="5" max="5" width="12.46484375" customWidth="1"/>
    <col min="6" max="6" width="13.53125" customWidth="1"/>
  </cols>
  <sheetData>
    <row r="1" spans="1:6" x14ac:dyDescent="0.45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24</v>
      </c>
    </row>
    <row r="2" spans="1:6" x14ac:dyDescent="0.45">
      <c r="A2" s="2" t="s">
        <v>12</v>
      </c>
      <c r="B2">
        <v>0.1290322580645161</v>
      </c>
      <c r="C2">
        <v>-1.580645161290323</v>
      </c>
      <c r="D2" t="s">
        <v>13</v>
      </c>
      <c r="E2">
        <f>B2/0.05</f>
        <v>2.5806451612903216</v>
      </c>
      <c r="F2" t="s">
        <v>25</v>
      </c>
    </row>
    <row r="3" spans="1:6" x14ac:dyDescent="0.45">
      <c r="A3" s="2" t="s">
        <v>15</v>
      </c>
      <c r="B3">
        <v>0.23207885304659501</v>
      </c>
      <c r="C3">
        <v>-3.6415770609318989</v>
      </c>
      <c r="D3" t="s">
        <v>13</v>
      </c>
      <c r="E3">
        <f t="shared" ref="E3:E7" si="0">B3/0.05</f>
        <v>4.6415770609319003</v>
      </c>
      <c r="F3" t="s">
        <v>25</v>
      </c>
    </row>
    <row r="4" spans="1:6" x14ac:dyDescent="0.45">
      <c r="A4" s="2" t="s">
        <v>17</v>
      </c>
      <c r="B4">
        <v>0.3611111111111111</v>
      </c>
      <c r="C4">
        <v>-6.2222222222222214</v>
      </c>
      <c r="D4" t="s">
        <v>13</v>
      </c>
      <c r="E4">
        <f t="shared" si="0"/>
        <v>7.2222222222222214</v>
      </c>
      <c r="F4" t="s">
        <v>25</v>
      </c>
    </row>
    <row r="5" spans="1:6" x14ac:dyDescent="0.45">
      <c r="A5" s="2" t="s">
        <v>18</v>
      </c>
      <c r="B5">
        <v>3.1479105571847521E-2</v>
      </c>
      <c r="C5">
        <v>0.37041788856304958</v>
      </c>
      <c r="D5" t="s">
        <v>14</v>
      </c>
      <c r="E5">
        <f t="shared" si="0"/>
        <v>0.62958211143695042</v>
      </c>
      <c r="F5" t="s">
        <v>26</v>
      </c>
    </row>
    <row r="6" spans="1:6" x14ac:dyDescent="0.45">
      <c r="A6" s="2" t="s">
        <v>20</v>
      </c>
      <c r="B6">
        <v>0.20059974747474749</v>
      </c>
      <c r="C6">
        <v>-3.0119949494949489</v>
      </c>
      <c r="D6" t="s">
        <v>13</v>
      </c>
      <c r="E6">
        <f t="shared" si="0"/>
        <v>4.0119949494949498</v>
      </c>
      <c r="F6" t="s">
        <v>25</v>
      </c>
    </row>
    <row r="7" spans="1:6" x14ac:dyDescent="0.45">
      <c r="A7" s="2" t="s">
        <v>21</v>
      </c>
      <c r="B7">
        <v>0.16051136363636359</v>
      </c>
      <c r="C7">
        <v>-2.2102272727272729</v>
      </c>
      <c r="D7" t="s">
        <v>13</v>
      </c>
      <c r="E7">
        <f t="shared" si="0"/>
        <v>3.2102272727272716</v>
      </c>
      <c r="F7" t="s">
        <v>25</v>
      </c>
    </row>
    <row r="8" spans="1:6" x14ac:dyDescent="0.45">
      <c r="A8" s="1" t="s">
        <v>22</v>
      </c>
      <c r="B8" s="1" t="s">
        <v>3</v>
      </c>
      <c r="C8" s="1" t="s">
        <v>4</v>
      </c>
      <c r="D8" s="1" t="s">
        <v>5</v>
      </c>
      <c r="E8" s="1" t="s">
        <v>23</v>
      </c>
      <c r="F8" s="1" t="s">
        <v>24</v>
      </c>
    </row>
    <row r="9" spans="1:6" x14ac:dyDescent="0.45">
      <c r="A9" s="2" t="s">
        <v>12</v>
      </c>
      <c r="B9">
        <v>0.1290322580645161</v>
      </c>
      <c r="C9">
        <v>-0.29032258064516131</v>
      </c>
      <c r="D9" t="s">
        <v>13</v>
      </c>
      <c r="E9">
        <f>B9/0.1</f>
        <v>1.2903225806451608</v>
      </c>
      <c r="F9" t="s">
        <v>25</v>
      </c>
    </row>
    <row r="10" spans="1:6" x14ac:dyDescent="0.45">
      <c r="A10" s="2" t="s">
        <v>15</v>
      </c>
      <c r="B10">
        <v>0.23207885304659501</v>
      </c>
      <c r="C10">
        <v>-1.3207885304659499</v>
      </c>
      <c r="D10" t="s">
        <v>13</v>
      </c>
      <c r="E10">
        <f t="shared" ref="E10:E14" si="1">B10/0.1</f>
        <v>2.3207885304659501</v>
      </c>
      <c r="F10" t="s">
        <v>25</v>
      </c>
    </row>
    <row r="11" spans="1:6" x14ac:dyDescent="0.45">
      <c r="A11" s="2" t="s">
        <v>17</v>
      </c>
      <c r="B11">
        <v>0.3611111111111111</v>
      </c>
      <c r="C11">
        <v>-2.6111111111111112</v>
      </c>
      <c r="D11" t="s">
        <v>13</v>
      </c>
      <c r="E11">
        <f t="shared" si="1"/>
        <v>3.6111111111111107</v>
      </c>
      <c r="F11" t="s">
        <v>25</v>
      </c>
    </row>
    <row r="12" spans="1:6" x14ac:dyDescent="0.45">
      <c r="A12" s="2" t="s">
        <v>18</v>
      </c>
      <c r="B12">
        <v>3.1479105571847521E-2</v>
      </c>
      <c r="C12">
        <v>0.68520894428152479</v>
      </c>
      <c r="D12" t="s">
        <v>16</v>
      </c>
      <c r="E12">
        <f t="shared" si="1"/>
        <v>0.31479105571847521</v>
      </c>
      <c r="F12" t="s">
        <v>26</v>
      </c>
    </row>
    <row r="13" spans="1:6" x14ac:dyDescent="0.45">
      <c r="A13" s="2" t="s">
        <v>20</v>
      </c>
      <c r="B13">
        <v>0.20059974747474749</v>
      </c>
      <c r="C13">
        <v>-1.005997474747474</v>
      </c>
      <c r="D13" t="s">
        <v>13</v>
      </c>
      <c r="E13">
        <f t="shared" si="1"/>
        <v>2.0059974747474749</v>
      </c>
      <c r="F13" t="s">
        <v>25</v>
      </c>
    </row>
    <row r="14" spans="1:6" x14ac:dyDescent="0.45">
      <c r="A14" s="2" t="s">
        <v>21</v>
      </c>
      <c r="B14">
        <v>0.16051136363636359</v>
      </c>
      <c r="C14">
        <v>-0.60511363636363646</v>
      </c>
      <c r="D14" t="s">
        <v>13</v>
      </c>
      <c r="E14">
        <f t="shared" si="1"/>
        <v>1.6051136363636358</v>
      </c>
      <c r="F14" t="s">
        <v>25</v>
      </c>
    </row>
    <row r="15" spans="1:6" x14ac:dyDescent="0.45">
      <c r="A15" s="1" t="s">
        <v>22</v>
      </c>
      <c r="B15" s="1" t="s">
        <v>6</v>
      </c>
      <c r="C15" s="1" t="s">
        <v>7</v>
      </c>
      <c r="D15" s="1" t="s">
        <v>8</v>
      </c>
      <c r="E15" s="1" t="s">
        <v>23</v>
      </c>
      <c r="F15" s="1" t="s">
        <v>24</v>
      </c>
    </row>
    <row r="16" spans="1:6" x14ac:dyDescent="0.45">
      <c r="A16" s="2" t="s">
        <v>12</v>
      </c>
      <c r="B16">
        <v>0.1290322580645161</v>
      </c>
      <c r="C16">
        <v>0.1397849462365591</v>
      </c>
      <c r="D16" t="s">
        <v>14</v>
      </c>
      <c r="E16">
        <f>B16/0.15</f>
        <v>0.86021505376344065</v>
      </c>
      <c r="F16" t="s">
        <v>26</v>
      </c>
    </row>
    <row r="17" spans="1:6" x14ac:dyDescent="0.45">
      <c r="A17" s="2" t="s">
        <v>15</v>
      </c>
      <c r="B17">
        <v>0.23207885304659501</v>
      </c>
      <c r="C17">
        <v>-0.54719235364396668</v>
      </c>
      <c r="D17" t="s">
        <v>13</v>
      </c>
      <c r="E17">
        <f t="shared" ref="E17:E21" si="2">B17/0.15</f>
        <v>1.5471923536439667</v>
      </c>
      <c r="F17" t="s">
        <v>25</v>
      </c>
    </row>
    <row r="18" spans="1:6" x14ac:dyDescent="0.45">
      <c r="A18" s="2" t="s">
        <v>17</v>
      </c>
      <c r="B18">
        <v>0.3611111111111111</v>
      </c>
      <c r="C18">
        <v>-1.407407407407407</v>
      </c>
      <c r="D18" t="s">
        <v>13</v>
      </c>
      <c r="E18">
        <f t="shared" si="2"/>
        <v>2.4074074074074074</v>
      </c>
      <c r="F18" t="s">
        <v>25</v>
      </c>
    </row>
    <row r="19" spans="1:6" x14ac:dyDescent="0.45">
      <c r="A19" s="2" t="s">
        <v>18</v>
      </c>
      <c r="B19">
        <v>3.1479105571847521E-2</v>
      </c>
      <c r="C19">
        <v>0.79013929618768319</v>
      </c>
      <c r="D19" t="s">
        <v>19</v>
      </c>
      <c r="E19">
        <f t="shared" si="2"/>
        <v>0.20986070381231681</v>
      </c>
      <c r="F19" t="s">
        <v>26</v>
      </c>
    </row>
    <row r="20" spans="1:6" x14ac:dyDescent="0.45">
      <c r="A20" s="2" t="s">
        <v>20</v>
      </c>
      <c r="B20">
        <v>0.20059974747474749</v>
      </c>
      <c r="C20">
        <v>-0.33733164983164993</v>
      </c>
      <c r="D20" t="s">
        <v>13</v>
      </c>
      <c r="E20">
        <f t="shared" si="2"/>
        <v>1.3373316498316499</v>
      </c>
      <c r="F20" t="s">
        <v>25</v>
      </c>
    </row>
    <row r="21" spans="1:6" x14ac:dyDescent="0.45">
      <c r="A21" s="2" t="s">
        <v>21</v>
      </c>
      <c r="B21">
        <v>0.16051136363636359</v>
      </c>
      <c r="C21">
        <v>-7.0075757575757791E-2</v>
      </c>
      <c r="D21" t="s">
        <v>13</v>
      </c>
      <c r="E21">
        <f t="shared" si="2"/>
        <v>1.0700757575757573</v>
      </c>
      <c r="F21" t="s">
        <v>25</v>
      </c>
    </row>
    <row r="22" spans="1:6" x14ac:dyDescent="0.45">
      <c r="A22" s="1" t="s">
        <v>22</v>
      </c>
      <c r="B22" s="1" t="s">
        <v>9</v>
      </c>
      <c r="C22" s="1" t="s">
        <v>10</v>
      </c>
      <c r="D22" s="1" t="s">
        <v>11</v>
      </c>
      <c r="E22" s="1" t="s">
        <v>23</v>
      </c>
      <c r="F22" s="1" t="s">
        <v>24</v>
      </c>
    </row>
    <row r="23" spans="1:6" x14ac:dyDescent="0.45">
      <c r="A23" s="2" t="s">
        <v>12</v>
      </c>
      <c r="B23">
        <v>0.1290322580645161</v>
      </c>
      <c r="C23">
        <v>0.35483870967741937</v>
      </c>
      <c r="D23" t="s">
        <v>14</v>
      </c>
      <c r="E23">
        <f>B23/0.2</f>
        <v>0.64516129032258041</v>
      </c>
      <c r="F23" t="s">
        <v>26</v>
      </c>
    </row>
    <row r="24" spans="1:6" x14ac:dyDescent="0.45">
      <c r="A24" s="2" t="s">
        <v>15</v>
      </c>
      <c r="B24">
        <v>0.23207885304659501</v>
      </c>
      <c r="C24">
        <v>-0.16039426523297479</v>
      </c>
      <c r="D24" t="s">
        <v>13</v>
      </c>
      <c r="E24">
        <f t="shared" ref="E24:E28" si="3">B24/0.2</f>
        <v>1.1603942652329751</v>
      </c>
      <c r="F24" t="s">
        <v>25</v>
      </c>
    </row>
    <row r="25" spans="1:6" x14ac:dyDescent="0.45">
      <c r="A25" s="2" t="s">
        <v>17</v>
      </c>
      <c r="B25">
        <v>0.3611111111111111</v>
      </c>
      <c r="C25">
        <v>-0.80555555555555536</v>
      </c>
      <c r="D25" t="s">
        <v>13</v>
      </c>
      <c r="E25">
        <f t="shared" si="3"/>
        <v>1.8055555555555554</v>
      </c>
      <c r="F25" t="s">
        <v>25</v>
      </c>
    </row>
    <row r="26" spans="1:6" x14ac:dyDescent="0.45">
      <c r="A26" s="2" t="s">
        <v>18</v>
      </c>
      <c r="B26">
        <v>3.1479105571847521E-2</v>
      </c>
      <c r="C26">
        <v>0.84260447214076239</v>
      </c>
      <c r="D26" t="s">
        <v>19</v>
      </c>
      <c r="E26">
        <f t="shared" si="3"/>
        <v>0.15739552785923761</v>
      </c>
      <c r="F26" t="s">
        <v>26</v>
      </c>
    </row>
    <row r="27" spans="1:6" x14ac:dyDescent="0.45">
      <c r="A27" s="2" t="s">
        <v>20</v>
      </c>
      <c r="B27">
        <v>0.20059974747474749</v>
      </c>
      <c r="C27">
        <v>-2.9987373737372369E-3</v>
      </c>
      <c r="D27" t="s">
        <v>13</v>
      </c>
      <c r="E27">
        <f t="shared" si="3"/>
        <v>1.0029987373737375</v>
      </c>
      <c r="F27" t="s">
        <v>25</v>
      </c>
    </row>
    <row r="28" spans="1:6" x14ac:dyDescent="0.45">
      <c r="A28" s="2" t="s">
        <v>21</v>
      </c>
      <c r="B28">
        <v>0.16051136363636359</v>
      </c>
      <c r="C28">
        <v>0.1974431818181818</v>
      </c>
      <c r="D28" t="s">
        <v>14</v>
      </c>
      <c r="E28">
        <f t="shared" si="3"/>
        <v>0.8025568181818179</v>
      </c>
      <c r="F28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00DA2-322A-47A2-BE8C-70973398FBCD}">
  <dimension ref="A1:F28"/>
  <sheetViews>
    <sheetView topLeftCell="A9" workbookViewId="0">
      <selection activeCell="E1" sqref="E1:F28"/>
    </sheetView>
  </sheetViews>
  <sheetFormatPr defaultRowHeight="14.25" x14ac:dyDescent="0.45"/>
  <cols>
    <col min="1" max="1" width="16.796875" customWidth="1"/>
    <col min="2" max="2" width="17.1328125" bestFit="1" customWidth="1"/>
    <col min="3" max="3" width="13.9296875" bestFit="1" customWidth="1"/>
    <col min="4" max="4" width="14.59765625" bestFit="1" customWidth="1"/>
    <col min="5" max="5" width="12.53125" customWidth="1"/>
    <col min="6" max="6" width="12.796875" customWidth="1"/>
  </cols>
  <sheetData>
    <row r="1" spans="1:6" x14ac:dyDescent="0.45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24</v>
      </c>
    </row>
    <row r="2" spans="1:6" x14ac:dyDescent="0.45">
      <c r="A2" s="2" t="s">
        <v>12</v>
      </c>
      <c r="B2">
        <v>0.14743589743589741</v>
      </c>
      <c r="C2">
        <v>-1.9487179487179469</v>
      </c>
      <c r="D2" t="s">
        <v>13</v>
      </c>
      <c r="E2">
        <f>B2/0.05</f>
        <v>2.948717948717948</v>
      </c>
      <c r="F2" t="s">
        <v>25</v>
      </c>
    </row>
    <row r="3" spans="1:6" x14ac:dyDescent="0.45">
      <c r="A3" s="2" t="s">
        <v>15</v>
      </c>
      <c r="B3">
        <v>4.9843014128728443E-2</v>
      </c>
      <c r="C3">
        <v>3.1397174254312881E-3</v>
      </c>
      <c r="D3" t="s">
        <v>14</v>
      </c>
      <c r="E3">
        <f t="shared" ref="E3:E7" si="0">B3/0.05</f>
        <v>0.99686028257456882</v>
      </c>
      <c r="F3" t="s">
        <v>26</v>
      </c>
    </row>
    <row r="4" spans="1:6" x14ac:dyDescent="0.45">
      <c r="A4" s="2" t="s">
        <v>17</v>
      </c>
      <c r="B4">
        <v>0.19727891156462579</v>
      </c>
      <c r="C4">
        <v>-2.9455782312925161</v>
      </c>
      <c r="D4" t="s">
        <v>13</v>
      </c>
      <c r="E4">
        <f t="shared" si="0"/>
        <v>3.9455782312925156</v>
      </c>
      <c r="F4" t="s">
        <v>25</v>
      </c>
    </row>
    <row r="5" spans="1:6" x14ac:dyDescent="0.45">
      <c r="A5" s="2" t="s">
        <v>18</v>
      </c>
      <c r="B5">
        <v>4.0428321678321673E-2</v>
      </c>
      <c r="C5">
        <v>0.19143356643356671</v>
      </c>
      <c r="D5" t="s">
        <v>14</v>
      </c>
      <c r="E5">
        <f t="shared" si="0"/>
        <v>0.80856643356643343</v>
      </c>
      <c r="F5" t="s">
        <v>26</v>
      </c>
    </row>
    <row r="6" spans="1:6" x14ac:dyDescent="0.45">
      <c r="A6" s="2" t="s">
        <v>20</v>
      </c>
      <c r="B6">
        <v>9.0271335807050102E-2</v>
      </c>
      <c r="C6">
        <v>-0.80542671614100203</v>
      </c>
      <c r="D6" t="s">
        <v>13</v>
      </c>
      <c r="E6">
        <f t="shared" si="0"/>
        <v>1.805426716141002</v>
      </c>
      <c r="F6" t="s">
        <v>25</v>
      </c>
    </row>
    <row r="7" spans="1:6" x14ac:dyDescent="0.45">
      <c r="A7" s="2" t="s">
        <v>21</v>
      </c>
      <c r="B7">
        <v>0.1070075757575757</v>
      </c>
      <c r="C7">
        <v>-1.140151515151514</v>
      </c>
      <c r="D7" t="s">
        <v>13</v>
      </c>
      <c r="E7">
        <f t="shared" si="0"/>
        <v>2.1401515151515138</v>
      </c>
      <c r="F7" t="s">
        <v>25</v>
      </c>
    </row>
    <row r="8" spans="1:6" x14ac:dyDescent="0.45">
      <c r="A8" s="1" t="s">
        <v>22</v>
      </c>
      <c r="B8" s="1" t="s">
        <v>3</v>
      </c>
      <c r="C8" s="1" t="s">
        <v>4</v>
      </c>
      <c r="D8" s="1" t="s">
        <v>5</v>
      </c>
      <c r="E8" s="1" t="s">
        <v>23</v>
      </c>
      <c r="F8" s="1" t="s">
        <v>24</v>
      </c>
    </row>
    <row r="9" spans="1:6" x14ac:dyDescent="0.45">
      <c r="A9" s="2" t="s">
        <v>12</v>
      </c>
      <c r="B9">
        <v>0.14743589743589741</v>
      </c>
      <c r="C9">
        <v>-0.47435897435897362</v>
      </c>
      <c r="D9" t="s">
        <v>13</v>
      </c>
      <c r="E9">
        <f>B9/0.1</f>
        <v>1.474358974358974</v>
      </c>
      <c r="F9" t="s">
        <v>25</v>
      </c>
    </row>
    <row r="10" spans="1:6" x14ac:dyDescent="0.45">
      <c r="A10" s="2" t="s">
        <v>15</v>
      </c>
      <c r="B10">
        <v>4.9843014128728443E-2</v>
      </c>
      <c r="C10">
        <v>0.50156985871271564</v>
      </c>
      <c r="D10" t="s">
        <v>16</v>
      </c>
      <c r="E10">
        <f t="shared" ref="E10:E14" si="1">B10/0.1</f>
        <v>0.49843014128728441</v>
      </c>
      <c r="F10" t="s">
        <v>26</v>
      </c>
    </row>
    <row r="11" spans="1:6" x14ac:dyDescent="0.45">
      <c r="A11" s="2" t="s">
        <v>17</v>
      </c>
      <c r="B11">
        <v>0.19727891156462579</v>
      </c>
      <c r="C11">
        <v>-0.97278911564625781</v>
      </c>
      <c r="D11" t="s">
        <v>13</v>
      </c>
      <c r="E11">
        <f t="shared" si="1"/>
        <v>1.9727891156462578</v>
      </c>
      <c r="F11" t="s">
        <v>25</v>
      </c>
    </row>
    <row r="12" spans="1:6" x14ac:dyDescent="0.45">
      <c r="A12" s="2" t="s">
        <v>18</v>
      </c>
      <c r="B12">
        <v>4.0428321678321673E-2</v>
      </c>
      <c r="C12">
        <v>0.59571678321678334</v>
      </c>
      <c r="D12" t="s">
        <v>16</v>
      </c>
      <c r="E12">
        <f t="shared" si="1"/>
        <v>0.40428321678321671</v>
      </c>
      <c r="F12" t="s">
        <v>26</v>
      </c>
    </row>
    <row r="13" spans="1:6" x14ac:dyDescent="0.45">
      <c r="A13" s="2" t="s">
        <v>20</v>
      </c>
      <c r="B13">
        <v>9.0271335807050102E-2</v>
      </c>
      <c r="C13">
        <v>9.7286641929498985E-2</v>
      </c>
      <c r="D13" t="s">
        <v>14</v>
      </c>
      <c r="E13">
        <f t="shared" si="1"/>
        <v>0.90271335807050102</v>
      </c>
      <c r="F13" t="s">
        <v>26</v>
      </c>
    </row>
    <row r="14" spans="1:6" x14ac:dyDescent="0.45">
      <c r="A14" s="2" t="s">
        <v>21</v>
      </c>
      <c r="B14">
        <v>0.1070075757575757</v>
      </c>
      <c r="C14">
        <v>-7.0075757575756903E-2</v>
      </c>
      <c r="D14" t="s">
        <v>13</v>
      </c>
      <c r="E14">
        <f t="shared" si="1"/>
        <v>1.0700757575757569</v>
      </c>
      <c r="F14" t="s">
        <v>25</v>
      </c>
    </row>
    <row r="15" spans="1:6" x14ac:dyDescent="0.45">
      <c r="A15" s="1" t="s">
        <v>22</v>
      </c>
      <c r="B15" s="1" t="s">
        <v>6</v>
      </c>
      <c r="C15" s="1" t="s">
        <v>7</v>
      </c>
      <c r="D15" s="1" t="s">
        <v>8</v>
      </c>
      <c r="E15" s="1" t="s">
        <v>23</v>
      </c>
      <c r="F15" s="1" t="s">
        <v>24</v>
      </c>
    </row>
    <row r="16" spans="1:6" x14ac:dyDescent="0.45">
      <c r="A16" s="2" t="s">
        <v>12</v>
      </c>
      <c r="B16">
        <v>0.14743589743589741</v>
      </c>
      <c r="C16">
        <v>1.7094017094017588E-2</v>
      </c>
      <c r="D16" t="s">
        <v>14</v>
      </c>
      <c r="E16">
        <f>B16/0.15</f>
        <v>0.98290598290598274</v>
      </c>
      <c r="F16" t="s">
        <v>26</v>
      </c>
    </row>
    <row r="17" spans="1:6" x14ac:dyDescent="0.45">
      <c r="A17" s="2" t="s">
        <v>15</v>
      </c>
      <c r="B17">
        <v>4.9843014128728443E-2</v>
      </c>
      <c r="C17">
        <v>0.66771323914181036</v>
      </c>
      <c r="D17" t="s">
        <v>16</v>
      </c>
      <c r="E17">
        <f t="shared" ref="E17:E21" si="2">B17/0.15</f>
        <v>0.33228676085818964</v>
      </c>
      <c r="F17" t="s">
        <v>26</v>
      </c>
    </row>
    <row r="18" spans="1:6" x14ac:dyDescent="0.45">
      <c r="A18" s="2" t="s">
        <v>17</v>
      </c>
      <c r="B18">
        <v>0.19727891156462579</v>
      </c>
      <c r="C18">
        <v>-0.31519274376417189</v>
      </c>
      <c r="D18" t="s">
        <v>13</v>
      </c>
      <c r="E18">
        <f t="shared" si="2"/>
        <v>1.3151927437641719</v>
      </c>
      <c r="F18" t="s">
        <v>25</v>
      </c>
    </row>
    <row r="19" spans="1:6" x14ac:dyDescent="0.45">
      <c r="A19" s="2" t="s">
        <v>18</v>
      </c>
      <c r="B19">
        <v>4.0428321678321673E-2</v>
      </c>
      <c r="C19">
        <v>0.73047785547785549</v>
      </c>
      <c r="D19" t="s">
        <v>16</v>
      </c>
      <c r="E19">
        <f t="shared" si="2"/>
        <v>0.26952214452214451</v>
      </c>
      <c r="F19" t="s">
        <v>26</v>
      </c>
    </row>
    <row r="20" spans="1:6" x14ac:dyDescent="0.45">
      <c r="A20" s="2" t="s">
        <v>20</v>
      </c>
      <c r="B20">
        <v>9.0271335807050102E-2</v>
      </c>
      <c r="C20">
        <v>0.39819109461966601</v>
      </c>
      <c r="D20" t="s">
        <v>14</v>
      </c>
      <c r="E20">
        <f t="shared" si="2"/>
        <v>0.60180890538033405</v>
      </c>
      <c r="F20" t="s">
        <v>26</v>
      </c>
    </row>
    <row r="21" spans="1:6" x14ac:dyDescent="0.45">
      <c r="A21" s="2" t="s">
        <v>21</v>
      </c>
      <c r="B21">
        <v>0.1070075757575757</v>
      </c>
      <c r="C21">
        <v>0.28661616161616199</v>
      </c>
      <c r="D21" t="s">
        <v>14</v>
      </c>
      <c r="E21">
        <f t="shared" si="2"/>
        <v>0.71338383838383801</v>
      </c>
      <c r="F21" t="s">
        <v>26</v>
      </c>
    </row>
    <row r="22" spans="1:6" x14ac:dyDescent="0.45">
      <c r="A22" s="1" t="s">
        <v>22</v>
      </c>
      <c r="B22" s="1" t="s">
        <v>9</v>
      </c>
      <c r="C22" s="1" t="s">
        <v>10</v>
      </c>
      <c r="D22" s="1" t="s">
        <v>11</v>
      </c>
      <c r="E22" s="1" t="s">
        <v>23</v>
      </c>
      <c r="F22" s="1" t="s">
        <v>24</v>
      </c>
    </row>
    <row r="23" spans="1:6" x14ac:dyDescent="0.45">
      <c r="A23" s="2" t="s">
        <v>12</v>
      </c>
      <c r="B23">
        <v>0.14743589743589741</v>
      </c>
      <c r="C23">
        <v>0.26282051282051322</v>
      </c>
      <c r="D23" t="s">
        <v>14</v>
      </c>
      <c r="E23">
        <f>B23/0.2</f>
        <v>0.737179487179487</v>
      </c>
      <c r="F23" t="s">
        <v>26</v>
      </c>
    </row>
    <row r="24" spans="1:6" x14ac:dyDescent="0.45">
      <c r="A24" s="2" t="s">
        <v>15</v>
      </c>
      <c r="B24">
        <v>4.9843014128728443E-2</v>
      </c>
      <c r="C24">
        <v>0.75078492935635777</v>
      </c>
      <c r="D24" t="s">
        <v>19</v>
      </c>
      <c r="E24">
        <f t="shared" ref="E24:E28" si="3">B24/0.2</f>
        <v>0.24921507064364221</v>
      </c>
      <c r="F24" t="s">
        <v>26</v>
      </c>
    </row>
    <row r="25" spans="1:6" x14ac:dyDescent="0.45">
      <c r="A25" s="2" t="s">
        <v>17</v>
      </c>
      <c r="B25">
        <v>0.19727891156462579</v>
      </c>
      <c r="C25">
        <v>1.36054421768711E-2</v>
      </c>
      <c r="D25" t="s">
        <v>14</v>
      </c>
      <c r="E25">
        <f t="shared" si="3"/>
        <v>0.9863945578231289</v>
      </c>
      <c r="F25" t="s">
        <v>26</v>
      </c>
    </row>
    <row r="26" spans="1:6" x14ac:dyDescent="0.45">
      <c r="A26" s="2" t="s">
        <v>18</v>
      </c>
      <c r="B26">
        <v>4.0428321678321673E-2</v>
      </c>
      <c r="C26">
        <v>0.79785839160839167</v>
      </c>
      <c r="D26" t="s">
        <v>19</v>
      </c>
      <c r="E26">
        <f t="shared" si="3"/>
        <v>0.20214160839160836</v>
      </c>
      <c r="F26" t="s">
        <v>26</v>
      </c>
    </row>
    <row r="27" spans="1:6" x14ac:dyDescent="0.45">
      <c r="A27" s="2" t="s">
        <v>20</v>
      </c>
      <c r="B27">
        <v>9.0271335807050102E-2</v>
      </c>
      <c r="C27">
        <v>0.54864332096474944</v>
      </c>
      <c r="D27" t="s">
        <v>16</v>
      </c>
      <c r="E27">
        <f t="shared" si="3"/>
        <v>0.45135667903525051</v>
      </c>
      <c r="F27" t="s">
        <v>26</v>
      </c>
    </row>
    <row r="28" spans="1:6" x14ac:dyDescent="0.45">
      <c r="A28" s="2" t="s">
        <v>21</v>
      </c>
      <c r="B28">
        <v>0.1070075757575757</v>
      </c>
      <c r="C28">
        <v>0.46496212121212149</v>
      </c>
      <c r="D28" t="s">
        <v>14</v>
      </c>
      <c r="E28">
        <f t="shared" si="3"/>
        <v>0.53503787878787845</v>
      </c>
      <c r="F28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DD6C-4DD1-4788-8295-82EF256F4637}">
  <dimension ref="A1:F28"/>
  <sheetViews>
    <sheetView topLeftCell="A9" workbookViewId="0">
      <selection activeCell="E1" sqref="E1:F28"/>
    </sheetView>
  </sheetViews>
  <sheetFormatPr defaultRowHeight="14.25" x14ac:dyDescent="0.45"/>
  <cols>
    <col min="1" max="1" width="12.796875" customWidth="1"/>
    <col min="2" max="2" width="17.1328125" bestFit="1" customWidth="1"/>
    <col min="3" max="3" width="13.9296875" bestFit="1" customWidth="1"/>
    <col min="4" max="4" width="14.59765625" bestFit="1" customWidth="1"/>
    <col min="5" max="5" width="11.73046875" bestFit="1" customWidth="1"/>
    <col min="6" max="6" width="11.46484375" bestFit="1" customWidth="1"/>
  </cols>
  <sheetData>
    <row r="1" spans="1:6" x14ac:dyDescent="0.45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24</v>
      </c>
    </row>
    <row r="2" spans="1:6" x14ac:dyDescent="0.45">
      <c r="A2" s="2" t="s">
        <v>12</v>
      </c>
      <c r="B2">
        <v>4.705882352941182E-2</v>
      </c>
      <c r="C2">
        <v>5.8823529411763609E-2</v>
      </c>
      <c r="D2" t="s">
        <v>14</v>
      </c>
      <c r="E2">
        <f>B2/0.05</f>
        <v>0.94117647058823639</v>
      </c>
      <c r="F2" t="s">
        <v>26</v>
      </c>
    </row>
    <row r="3" spans="1:6" x14ac:dyDescent="0.45">
      <c r="A3" s="2" t="s">
        <v>15</v>
      </c>
      <c r="B3">
        <v>3.5248340581368609E-3</v>
      </c>
      <c r="C3">
        <v>0.92950331883726278</v>
      </c>
      <c r="D3" t="s">
        <v>19</v>
      </c>
      <c r="E3">
        <f t="shared" ref="E3:E7" si="0">B3/0.05</f>
        <v>7.0496681162737218E-2</v>
      </c>
      <c r="F3" t="s">
        <v>26</v>
      </c>
    </row>
    <row r="4" spans="1:6" x14ac:dyDescent="0.45">
      <c r="A4" s="2" t="s">
        <v>17</v>
      </c>
      <c r="B4">
        <v>5.058365758754868E-2</v>
      </c>
      <c r="C4">
        <v>-1.1673151750973609E-2</v>
      </c>
      <c r="D4" t="s">
        <v>13</v>
      </c>
      <c r="E4">
        <f t="shared" si="0"/>
        <v>1.0116731517509736</v>
      </c>
      <c r="F4" t="s">
        <v>25</v>
      </c>
    </row>
    <row r="5" spans="1:6" x14ac:dyDescent="0.45">
      <c r="A5" s="2" t="s">
        <v>18</v>
      </c>
      <c r="B5">
        <v>2.0043314237809029E-2</v>
      </c>
      <c r="C5">
        <v>0.59913371524381942</v>
      </c>
      <c r="D5" t="s">
        <v>16</v>
      </c>
      <c r="E5">
        <f t="shared" si="0"/>
        <v>0.40086628475618058</v>
      </c>
      <c r="F5" t="s">
        <v>26</v>
      </c>
    </row>
    <row r="6" spans="1:6" x14ac:dyDescent="0.45">
      <c r="A6" s="2" t="s">
        <v>20</v>
      </c>
      <c r="B6">
        <v>1.6518480179672172E-2</v>
      </c>
      <c r="C6">
        <v>0.66963039640655664</v>
      </c>
      <c r="D6" t="s">
        <v>16</v>
      </c>
      <c r="E6">
        <f t="shared" si="0"/>
        <v>0.33036960359344342</v>
      </c>
      <c r="F6" t="s">
        <v>26</v>
      </c>
    </row>
    <row r="7" spans="1:6" x14ac:dyDescent="0.45">
      <c r="A7" s="2" t="s">
        <v>21</v>
      </c>
      <c r="B7">
        <v>6.7102137767220849E-2</v>
      </c>
      <c r="C7">
        <v>-0.34204275534441703</v>
      </c>
      <c r="D7" t="s">
        <v>13</v>
      </c>
      <c r="E7">
        <f t="shared" si="0"/>
        <v>1.342042755344417</v>
      </c>
      <c r="F7" t="s">
        <v>25</v>
      </c>
    </row>
    <row r="8" spans="1:6" x14ac:dyDescent="0.45">
      <c r="A8" s="1" t="s">
        <v>22</v>
      </c>
      <c r="B8" s="1" t="s">
        <v>3</v>
      </c>
      <c r="C8" s="1" t="s">
        <v>4</v>
      </c>
      <c r="D8" s="1" t="s">
        <v>5</v>
      </c>
      <c r="E8" s="1" t="s">
        <v>23</v>
      </c>
      <c r="F8" s="1" t="s">
        <v>24</v>
      </c>
    </row>
    <row r="9" spans="1:6" x14ac:dyDescent="0.45">
      <c r="A9" s="2" t="s">
        <v>12</v>
      </c>
      <c r="B9">
        <v>4.705882352941182E-2</v>
      </c>
      <c r="C9">
        <v>0.5294117647058818</v>
      </c>
      <c r="D9" t="s">
        <v>16</v>
      </c>
      <c r="E9">
        <f>B9/0.1</f>
        <v>0.4705882352941182</v>
      </c>
      <c r="F9" t="s">
        <v>26</v>
      </c>
    </row>
    <row r="10" spans="1:6" x14ac:dyDescent="0.45">
      <c r="A10" s="2" t="s">
        <v>15</v>
      </c>
      <c r="B10">
        <v>3.5248340581368609E-3</v>
      </c>
      <c r="C10">
        <v>0.96475165941863139</v>
      </c>
      <c r="D10" t="s">
        <v>19</v>
      </c>
      <c r="E10">
        <f t="shared" ref="E10:E14" si="1">B10/0.1</f>
        <v>3.5248340581368609E-2</v>
      </c>
      <c r="F10" t="s">
        <v>26</v>
      </c>
    </row>
    <row r="11" spans="1:6" x14ac:dyDescent="0.45">
      <c r="A11" s="2" t="s">
        <v>17</v>
      </c>
      <c r="B11">
        <v>5.058365758754868E-2</v>
      </c>
      <c r="C11">
        <v>0.4941634241245132</v>
      </c>
      <c r="D11" t="s">
        <v>14</v>
      </c>
      <c r="E11">
        <f t="shared" si="1"/>
        <v>0.5058365758754868</v>
      </c>
      <c r="F11" t="s">
        <v>26</v>
      </c>
    </row>
    <row r="12" spans="1:6" x14ac:dyDescent="0.45">
      <c r="A12" s="2" t="s">
        <v>18</v>
      </c>
      <c r="B12">
        <v>2.0043314237809029E-2</v>
      </c>
      <c r="C12">
        <v>0.79956685762190971</v>
      </c>
      <c r="D12" t="s">
        <v>19</v>
      </c>
      <c r="E12">
        <f t="shared" si="1"/>
        <v>0.20043314237809029</v>
      </c>
      <c r="F12" t="s">
        <v>26</v>
      </c>
    </row>
    <row r="13" spans="1:6" x14ac:dyDescent="0.45">
      <c r="A13" s="2" t="s">
        <v>20</v>
      </c>
      <c r="B13">
        <v>1.6518480179672172E-2</v>
      </c>
      <c r="C13">
        <v>0.83481519820327832</v>
      </c>
      <c r="D13" t="s">
        <v>19</v>
      </c>
      <c r="E13">
        <f t="shared" si="1"/>
        <v>0.16518480179672171</v>
      </c>
      <c r="F13" t="s">
        <v>26</v>
      </c>
    </row>
    <row r="14" spans="1:6" x14ac:dyDescent="0.45">
      <c r="A14" s="2" t="s">
        <v>21</v>
      </c>
      <c r="B14">
        <v>6.7102137767220849E-2</v>
      </c>
      <c r="C14">
        <v>0.32897862232779151</v>
      </c>
      <c r="D14" t="s">
        <v>14</v>
      </c>
      <c r="E14">
        <f t="shared" si="1"/>
        <v>0.67102137767220849</v>
      </c>
      <c r="F14" t="s">
        <v>25</v>
      </c>
    </row>
    <row r="15" spans="1:6" x14ac:dyDescent="0.45">
      <c r="A15" s="1" t="s">
        <v>22</v>
      </c>
      <c r="B15" s="1" t="s">
        <v>6</v>
      </c>
      <c r="C15" s="1" t="s">
        <v>7</v>
      </c>
      <c r="D15" s="1" t="s">
        <v>8</v>
      </c>
      <c r="E15" s="1" t="s">
        <v>23</v>
      </c>
      <c r="F15" s="1" t="s">
        <v>24</v>
      </c>
    </row>
    <row r="16" spans="1:6" x14ac:dyDescent="0.45">
      <c r="A16" s="2" t="s">
        <v>12</v>
      </c>
      <c r="B16">
        <v>4.705882352941182E-2</v>
      </c>
      <c r="C16">
        <v>0.68627450980392113</v>
      </c>
      <c r="D16" t="s">
        <v>16</v>
      </c>
      <c r="E16">
        <f>B16/0.15</f>
        <v>0.31372549019607882</v>
      </c>
      <c r="F16" t="s">
        <v>26</v>
      </c>
    </row>
    <row r="17" spans="1:6" x14ac:dyDescent="0.45">
      <c r="A17" s="2" t="s">
        <v>15</v>
      </c>
      <c r="B17">
        <v>3.5248340581368609E-3</v>
      </c>
      <c r="C17">
        <v>0.97650110627908759</v>
      </c>
      <c r="D17" t="s">
        <v>19</v>
      </c>
      <c r="E17">
        <f t="shared" ref="E17:E21" si="2">B17/0.15</f>
        <v>2.3498893720912406E-2</v>
      </c>
      <c r="F17" t="s">
        <v>26</v>
      </c>
    </row>
    <row r="18" spans="1:6" x14ac:dyDescent="0.45">
      <c r="A18" s="2" t="s">
        <v>17</v>
      </c>
      <c r="B18">
        <v>5.058365758754868E-2</v>
      </c>
      <c r="C18">
        <v>0.66277561608300872</v>
      </c>
      <c r="D18" t="s">
        <v>16</v>
      </c>
      <c r="E18">
        <f t="shared" si="2"/>
        <v>0.33722438391699122</v>
      </c>
      <c r="F18" t="s">
        <v>26</v>
      </c>
    </row>
    <row r="19" spans="1:6" x14ac:dyDescent="0.45">
      <c r="A19" s="2" t="s">
        <v>18</v>
      </c>
      <c r="B19">
        <v>2.0043314237809029E-2</v>
      </c>
      <c r="C19">
        <v>0.8663779050812731</v>
      </c>
      <c r="D19" t="s">
        <v>19</v>
      </c>
      <c r="E19">
        <f t="shared" si="2"/>
        <v>0.13362209491872687</v>
      </c>
      <c r="F19" t="s">
        <v>26</v>
      </c>
    </row>
    <row r="20" spans="1:6" x14ac:dyDescent="0.45">
      <c r="A20" s="2" t="s">
        <v>20</v>
      </c>
      <c r="B20">
        <v>1.6518480179672172E-2</v>
      </c>
      <c r="C20">
        <v>0.88987679880218551</v>
      </c>
      <c r="D20" t="s">
        <v>19</v>
      </c>
      <c r="E20">
        <f t="shared" si="2"/>
        <v>0.11012320119781448</v>
      </c>
      <c r="F20" t="s">
        <v>26</v>
      </c>
    </row>
    <row r="21" spans="1:6" x14ac:dyDescent="0.45">
      <c r="A21" s="2" t="s">
        <v>21</v>
      </c>
      <c r="B21">
        <v>6.7102137767220849E-2</v>
      </c>
      <c r="C21">
        <v>0.55265241488519434</v>
      </c>
      <c r="D21" t="s">
        <v>16</v>
      </c>
      <c r="E21">
        <f t="shared" si="2"/>
        <v>0.44734758511480566</v>
      </c>
      <c r="F21" t="s">
        <v>26</v>
      </c>
    </row>
    <row r="22" spans="1:6" x14ac:dyDescent="0.45">
      <c r="A22" s="1" t="s">
        <v>22</v>
      </c>
      <c r="B22" s="1" t="s">
        <v>9</v>
      </c>
      <c r="C22" s="1" t="s">
        <v>10</v>
      </c>
      <c r="D22" s="1" t="s">
        <v>11</v>
      </c>
      <c r="E22" s="1" t="s">
        <v>23</v>
      </c>
      <c r="F22" s="1" t="s">
        <v>24</v>
      </c>
    </row>
    <row r="23" spans="1:6" x14ac:dyDescent="0.45">
      <c r="A23" s="2" t="s">
        <v>12</v>
      </c>
      <c r="B23">
        <v>4.705882352941182E-2</v>
      </c>
      <c r="C23">
        <v>0.7647058823529409</v>
      </c>
      <c r="D23" t="s">
        <v>19</v>
      </c>
      <c r="E23">
        <f>B23/0.2</f>
        <v>0.2352941176470591</v>
      </c>
      <c r="F23" t="s">
        <v>26</v>
      </c>
    </row>
    <row r="24" spans="1:6" x14ac:dyDescent="0.45">
      <c r="A24" s="2" t="s">
        <v>15</v>
      </c>
      <c r="B24">
        <v>3.5248340581368609E-3</v>
      </c>
      <c r="C24">
        <v>0.9823758297093157</v>
      </c>
      <c r="D24" t="s">
        <v>19</v>
      </c>
      <c r="E24">
        <f t="shared" ref="E24:E28" si="3">B24/0.2</f>
        <v>1.7624170290684305E-2</v>
      </c>
      <c r="F24" t="s">
        <v>26</v>
      </c>
    </row>
    <row r="25" spans="1:6" x14ac:dyDescent="0.45">
      <c r="A25" s="2" t="s">
        <v>17</v>
      </c>
      <c r="B25">
        <v>5.058365758754868E-2</v>
      </c>
      <c r="C25">
        <v>0.7470817120622566</v>
      </c>
      <c r="D25" t="s">
        <v>16</v>
      </c>
      <c r="E25">
        <f t="shared" si="3"/>
        <v>0.2529182879377434</v>
      </c>
      <c r="F25" t="s">
        <v>26</v>
      </c>
    </row>
    <row r="26" spans="1:6" x14ac:dyDescent="0.45">
      <c r="A26" s="2" t="s">
        <v>18</v>
      </c>
      <c r="B26">
        <v>2.0043314237809029E-2</v>
      </c>
      <c r="C26">
        <v>0.89978342881095486</v>
      </c>
      <c r="D26" t="s">
        <v>19</v>
      </c>
      <c r="E26">
        <f t="shared" si="3"/>
        <v>0.10021657118904514</v>
      </c>
      <c r="F26" t="s">
        <v>26</v>
      </c>
    </row>
    <row r="27" spans="1:6" x14ac:dyDescent="0.45">
      <c r="A27" s="2" t="s">
        <v>20</v>
      </c>
      <c r="B27">
        <v>1.6518480179672172E-2</v>
      </c>
      <c r="C27">
        <v>0.91740759910163916</v>
      </c>
      <c r="D27" t="s">
        <v>19</v>
      </c>
      <c r="E27">
        <f t="shared" si="3"/>
        <v>8.2592400898360854E-2</v>
      </c>
      <c r="F27" t="s">
        <v>26</v>
      </c>
    </row>
    <row r="28" spans="1:6" x14ac:dyDescent="0.45">
      <c r="A28" s="2" t="s">
        <v>21</v>
      </c>
      <c r="B28">
        <v>6.7102137767220849E-2</v>
      </c>
      <c r="C28">
        <v>0.66448931116389576</v>
      </c>
      <c r="D28" t="s">
        <v>16</v>
      </c>
      <c r="E28">
        <f t="shared" si="3"/>
        <v>0.33551068883610424</v>
      </c>
      <c r="F28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47F86-91C4-4C11-9019-3C005FE638C6}">
  <dimension ref="A1:F28"/>
  <sheetViews>
    <sheetView topLeftCell="A9" workbookViewId="0">
      <selection activeCell="E1" sqref="E1:F28"/>
    </sheetView>
  </sheetViews>
  <sheetFormatPr defaultRowHeight="14.25" x14ac:dyDescent="0.45"/>
  <cols>
    <col min="1" max="1" width="13.86328125" customWidth="1"/>
    <col min="2" max="2" width="17.1328125" bestFit="1" customWidth="1"/>
    <col min="3" max="3" width="13.9296875" bestFit="1" customWidth="1"/>
    <col min="4" max="4" width="14.59765625" bestFit="1" customWidth="1"/>
    <col min="5" max="5" width="13.06640625" customWidth="1"/>
    <col min="6" max="6" width="14.53125" customWidth="1"/>
  </cols>
  <sheetData>
    <row r="1" spans="1:6" x14ac:dyDescent="0.45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24</v>
      </c>
    </row>
    <row r="2" spans="1:6" x14ac:dyDescent="0.45">
      <c r="A2" s="2" t="s">
        <v>12</v>
      </c>
      <c r="B2">
        <v>0.14939759036144579</v>
      </c>
      <c r="C2">
        <v>-1.9879518072289171</v>
      </c>
      <c r="D2" t="s">
        <v>13</v>
      </c>
      <c r="E2">
        <f>B2/0.05</f>
        <v>2.9879518072289155</v>
      </c>
      <c r="F2" t="s">
        <v>25</v>
      </c>
    </row>
    <row r="3" spans="1:6" x14ac:dyDescent="0.45">
      <c r="A3" s="2" t="s">
        <v>15</v>
      </c>
      <c r="B3">
        <v>0.1094259390503189</v>
      </c>
      <c r="C3">
        <v>-1.1885187810063791</v>
      </c>
      <c r="D3" t="s">
        <v>13</v>
      </c>
      <c r="E3">
        <f t="shared" ref="E3:E7" si="0">B3/0.05</f>
        <v>2.188518781006378</v>
      </c>
      <c r="F3" t="s">
        <v>25</v>
      </c>
    </row>
    <row r="4" spans="1:6" x14ac:dyDescent="0.45">
      <c r="A4" s="2" t="s">
        <v>17</v>
      </c>
      <c r="B4">
        <v>0.25882352941176479</v>
      </c>
      <c r="C4">
        <v>-4.1764705882352953</v>
      </c>
      <c r="D4" t="s">
        <v>13</v>
      </c>
      <c r="E4">
        <f t="shared" si="0"/>
        <v>5.1764705882352953</v>
      </c>
      <c r="F4" t="s">
        <v>25</v>
      </c>
    </row>
    <row r="5" spans="1:6" x14ac:dyDescent="0.45">
      <c r="A5" s="2" t="s">
        <v>18</v>
      </c>
      <c r="B5">
        <v>2.0988499452354929E-2</v>
      </c>
      <c r="C5">
        <v>0.5802300109529015</v>
      </c>
      <c r="D5" t="s">
        <v>16</v>
      </c>
      <c r="E5">
        <f t="shared" si="0"/>
        <v>0.41976998904709856</v>
      </c>
      <c r="F5" t="s">
        <v>26</v>
      </c>
    </row>
    <row r="6" spans="1:6" x14ac:dyDescent="0.45">
      <c r="A6" s="2" t="s">
        <v>20</v>
      </c>
      <c r="B6">
        <v>0.1304144385026739</v>
      </c>
      <c r="C6">
        <v>-1.6082887700534769</v>
      </c>
      <c r="D6" t="s">
        <v>13</v>
      </c>
      <c r="E6">
        <f t="shared" si="0"/>
        <v>2.6082887700534778</v>
      </c>
      <c r="F6" t="s">
        <v>25</v>
      </c>
    </row>
    <row r="7" spans="1:6" x14ac:dyDescent="0.45">
      <c r="A7" s="2" t="s">
        <v>21</v>
      </c>
      <c r="B7">
        <v>0.12840909090909089</v>
      </c>
      <c r="C7">
        <v>-1.5681818181818179</v>
      </c>
      <c r="D7" t="s">
        <v>13</v>
      </c>
      <c r="E7">
        <f t="shared" si="0"/>
        <v>2.5681818181818175</v>
      </c>
      <c r="F7" t="s">
        <v>25</v>
      </c>
    </row>
    <row r="8" spans="1:6" x14ac:dyDescent="0.45">
      <c r="A8" s="1" t="s">
        <v>22</v>
      </c>
      <c r="B8" s="1" t="s">
        <v>3</v>
      </c>
      <c r="C8" s="1" t="s">
        <v>4</v>
      </c>
      <c r="D8" s="1" t="s">
        <v>5</v>
      </c>
      <c r="E8" s="1" t="s">
        <v>23</v>
      </c>
      <c r="F8" s="1" t="s">
        <v>24</v>
      </c>
    </row>
    <row r="9" spans="1:6" x14ac:dyDescent="0.45">
      <c r="A9" s="2" t="s">
        <v>12</v>
      </c>
      <c r="B9">
        <v>0.14939759036144579</v>
      </c>
      <c r="C9">
        <v>-0.49397590361445842</v>
      </c>
      <c r="D9" t="s">
        <v>13</v>
      </c>
      <c r="E9">
        <f>B9/0.1</f>
        <v>1.4939759036144578</v>
      </c>
      <c r="F9" t="s">
        <v>25</v>
      </c>
    </row>
    <row r="10" spans="1:6" x14ac:dyDescent="0.45">
      <c r="A10" s="2" t="s">
        <v>15</v>
      </c>
      <c r="B10">
        <v>0.1094259390503189</v>
      </c>
      <c r="C10">
        <v>-9.4259390503189433E-2</v>
      </c>
      <c r="D10" t="s">
        <v>13</v>
      </c>
      <c r="E10">
        <f t="shared" ref="E10:E14" si="1">B10/0.1</f>
        <v>1.094259390503189</v>
      </c>
      <c r="F10" t="s">
        <v>25</v>
      </c>
    </row>
    <row r="11" spans="1:6" x14ac:dyDescent="0.45">
      <c r="A11" s="2" t="s">
        <v>17</v>
      </c>
      <c r="B11">
        <v>0.25882352941176479</v>
      </c>
      <c r="C11">
        <v>-1.5882352941176481</v>
      </c>
      <c r="D11" t="s">
        <v>13</v>
      </c>
      <c r="E11">
        <f t="shared" si="1"/>
        <v>2.5882352941176476</v>
      </c>
      <c r="F11" t="s">
        <v>25</v>
      </c>
    </row>
    <row r="12" spans="1:6" x14ac:dyDescent="0.45">
      <c r="A12" s="2" t="s">
        <v>18</v>
      </c>
      <c r="B12">
        <v>2.0988499452354929E-2</v>
      </c>
      <c r="C12">
        <v>0.79011500547645075</v>
      </c>
      <c r="D12" t="s">
        <v>19</v>
      </c>
      <c r="E12">
        <f t="shared" si="1"/>
        <v>0.20988499452354928</v>
      </c>
      <c r="F12" t="s">
        <v>26</v>
      </c>
    </row>
    <row r="13" spans="1:6" x14ac:dyDescent="0.45">
      <c r="A13" s="2" t="s">
        <v>20</v>
      </c>
      <c r="B13">
        <v>0.1304144385026739</v>
      </c>
      <c r="C13">
        <v>-0.30414438502673868</v>
      </c>
      <c r="D13" t="s">
        <v>13</v>
      </c>
      <c r="E13">
        <f t="shared" si="1"/>
        <v>1.3041443850267389</v>
      </c>
      <c r="F13" t="s">
        <v>25</v>
      </c>
    </row>
    <row r="14" spans="1:6" x14ac:dyDescent="0.45">
      <c r="A14" s="2" t="s">
        <v>21</v>
      </c>
      <c r="B14">
        <v>0.12840909090909089</v>
      </c>
      <c r="C14">
        <v>-0.28409090909090923</v>
      </c>
      <c r="D14" t="s">
        <v>13</v>
      </c>
      <c r="E14">
        <f t="shared" si="1"/>
        <v>1.2840909090909087</v>
      </c>
      <c r="F14" t="s">
        <v>25</v>
      </c>
    </row>
    <row r="15" spans="1:6" x14ac:dyDescent="0.45">
      <c r="A15" s="1" t="s">
        <v>22</v>
      </c>
      <c r="B15" s="1" t="s">
        <v>6</v>
      </c>
      <c r="C15" s="1" t="s">
        <v>7</v>
      </c>
      <c r="D15" s="1" t="s">
        <v>8</v>
      </c>
      <c r="E15" s="1" t="s">
        <v>23</v>
      </c>
      <c r="F15" s="1" t="s">
        <v>24</v>
      </c>
    </row>
    <row r="16" spans="1:6" x14ac:dyDescent="0.45">
      <c r="A16" s="2" t="s">
        <v>12</v>
      </c>
      <c r="B16">
        <v>0.14939759036144579</v>
      </c>
      <c r="C16">
        <v>4.0160642570277183E-3</v>
      </c>
      <c r="D16" t="s">
        <v>14</v>
      </c>
      <c r="E16">
        <f>B16/0.15</f>
        <v>0.99598393574297195</v>
      </c>
      <c r="F16" t="s">
        <v>26</v>
      </c>
    </row>
    <row r="17" spans="1:6" x14ac:dyDescent="0.45">
      <c r="A17" s="2" t="s">
        <v>15</v>
      </c>
      <c r="B17">
        <v>0.1094259390503189</v>
      </c>
      <c r="C17">
        <v>0.27049373966454038</v>
      </c>
      <c r="D17" t="s">
        <v>14</v>
      </c>
      <c r="E17">
        <f t="shared" ref="E17:E21" si="2">B17/0.15</f>
        <v>0.7295062603354594</v>
      </c>
      <c r="F17" t="s">
        <v>26</v>
      </c>
    </row>
    <row r="18" spans="1:6" x14ac:dyDescent="0.45">
      <c r="A18" s="2" t="s">
        <v>17</v>
      </c>
      <c r="B18">
        <v>0.25882352941176479</v>
      </c>
      <c r="C18">
        <v>-0.7254901960784319</v>
      </c>
      <c r="D18" t="s">
        <v>13</v>
      </c>
      <c r="E18">
        <f t="shared" si="2"/>
        <v>1.7254901960784319</v>
      </c>
      <c r="F18" t="s">
        <v>25</v>
      </c>
    </row>
    <row r="19" spans="1:6" x14ac:dyDescent="0.45">
      <c r="A19" s="2" t="s">
        <v>18</v>
      </c>
      <c r="B19">
        <v>2.0988499452354929E-2</v>
      </c>
      <c r="C19">
        <v>0.8600766703176338</v>
      </c>
      <c r="D19" t="s">
        <v>19</v>
      </c>
      <c r="E19">
        <f t="shared" si="2"/>
        <v>0.1399233296823662</v>
      </c>
      <c r="F19" t="s">
        <v>26</v>
      </c>
    </row>
    <row r="20" spans="1:6" x14ac:dyDescent="0.45">
      <c r="A20" s="2" t="s">
        <v>20</v>
      </c>
      <c r="B20">
        <v>0.1304144385026739</v>
      </c>
      <c r="C20">
        <v>0.1305704099821742</v>
      </c>
      <c r="D20" t="s">
        <v>14</v>
      </c>
      <c r="E20">
        <f t="shared" si="2"/>
        <v>0.86942959001782605</v>
      </c>
      <c r="F20" t="s">
        <v>26</v>
      </c>
    </row>
    <row r="21" spans="1:6" x14ac:dyDescent="0.45">
      <c r="A21" s="2" t="s">
        <v>21</v>
      </c>
      <c r="B21">
        <v>0.12840909090909089</v>
      </c>
      <c r="C21">
        <v>0.14393939393939381</v>
      </c>
      <c r="D21" t="s">
        <v>14</v>
      </c>
      <c r="E21">
        <f t="shared" si="2"/>
        <v>0.85606060606060597</v>
      </c>
      <c r="F21" t="s">
        <v>26</v>
      </c>
    </row>
    <row r="22" spans="1:6" x14ac:dyDescent="0.45">
      <c r="A22" s="1" t="s">
        <v>22</v>
      </c>
      <c r="B22" s="1" t="s">
        <v>9</v>
      </c>
      <c r="C22" s="1" t="s">
        <v>10</v>
      </c>
      <c r="D22" s="1" t="s">
        <v>11</v>
      </c>
      <c r="E22" s="1" t="s">
        <v>23</v>
      </c>
      <c r="F22" s="1" t="s">
        <v>24</v>
      </c>
    </row>
    <row r="23" spans="1:6" x14ac:dyDescent="0.45">
      <c r="A23" s="2" t="s">
        <v>12</v>
      </c>
      <c r="B23">
        <v>0.14939759036144579</v>
      </c>
      <c r="C23">
        <v>0.25301204819277079</v>
      </c>
      <c r="D23" t="s">
        <v>14</v>
      </c>
      <c r="E23">
        <f>B23/0.2</f>
        <v>0.74698795180722888</v>
      </c>
      <c r="F23" t="s">
        <v>26</v>
      </c>
    </row>
    <row r="24" spans="1:6" x14ac:dyDescent="0.45">
      <c r="A24" s="2" t="s">
        <v>15</v>
      </c>
      <c r="B24">
        <v>0.1094259390503189</v>
      </c>
      <c r="C24">
        <v>0.45287030474840528</v>
      </c>
      <c r="D24" t="s">
        <v>14</v>
      </c>
      <c r="E24">
        <f t="shared" ref="E24:E28" si="3">B24/0.2</f>
        <v>0.54712969525159449</v>
      </c>
      <c r="F24" t="s">
        <v>26</v>
      </c>
    </row>
    <row r="25" spans="1:6" x14ac:dyDescent="0.45">
      <c r="A25" s="2" t="s">
        <v>17</v>
      </c>
      <c r="B25">
        <v>0.25882352941176479</v>
      </c>
      <c r="C25">
        <v>-0.29411764705882382</v>
      </c>
      <c r="D25" t="s">
        <v>13</v>
      </c>
      <c r="E25">
        <f t="shared" si="3"/>
        <v>1.2941176470588238</v>
      </c>
      <c r="F25" t="s">
        <v>25</v>
      </c>
    </row>
    <row r="26" spans="1:6" x14ac:dyDescent="0.45">
      <c r="A26" s="2" t="s">
        <v>18</v>
      </c>
      <c r="B26">
        <v>2.0988499452354929E-2</v>
      </c>
      <c r="C26">
        <v>0.89505750273822537</v>
      </c>
      <c r="D26" t="s">
        <v>19</v>
      </c>
      <c r="E26">
        <f t="shared" si="3"/>
        <v>0.10494249726177464</v>
      </c>
      <c r="F26" t="s">
        <v>26</v>
      </c>
    </row>
    <row r="27" spans="1:6" x14ac:dyDescent="0.45">
      <c r="A27" s="2" t="s">
        <v>20</v>
      </c>
      <c r="B27">
        <v>0.1304144385026739</v>
      </c>
      <c r="C27">
        <v>0.34792780748663071</v>
      </c>
      <c r="D27" t="s">
        <v>14</v>
      </c>
      <c r="E27">
        <f t="shared" si="3"/>
        <v>0.65207219251336945</v>
      </c>
      <c r="F27" t="s">
        <v>26</v>
      </c>
    </row>
    <row r="28" spans="1:6" x14ac:dyDescent="0.45">
      <c r="A28" s="2" t="s">
        <v>21</v>
      </c>
      <c r="B28">
        <v>0.12840909090909089</v>
      </c>
      <c r="C28">
        <v>0.35795454545454541</v>
      </c>
      <c r="D28" t="s">
        <v>14</v>
      </c>
      <c r="E28">
        <f t="shared" si="3"/>
        <v>0.64204545454545436</v>
      </c>
      <c r="F28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B6B6-5410-4BCE-860C-B064FDCC087B}">
  <dimension ref="A1:F28"/>
  <sheetViews>
    <sheetView workbookViewId="0">
      <selection activeCell="F4" sqref="F4"/>
    </sheetView>
  </sheetViews>
  <sheetFormatPr defaultRowHeight="14.25" x14ac:dyDescent="0.45"/>
  <cols>
    <col min="1" max="1" width="13.6640625" customWidth="1"/>
    <col min="2" max="2" width="18.3984375" customWidth="1"/>
    <col min="3" max="3" width="15.1328125" customWidth="1"/>
    <col min="4" max="4" width="14.59765625" bestFit="1" customWidth="1"/>
    <col min="5" max="5" width="14.19921875" customWidth="1"/>
    <col min="6" max="6" width="14.06640625" customWidth="1"/>
  </cols>
  <sheetData>
    <row r="1" spans="1:6" x14ac:dyDescent="0.45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24</v>
      </c>
    </row>
    <row r="2" spans="1:6" x14ac:dyDescent="0.45">
      <c r="A2" s="2" t="s">
        <v>12</v>
      </c>
      <c r="B2">
        <v>8.3221748833434694E-2</v>
      </c>
      <c r="C2">
        <v>-0.66443497666869389</v>
      </c>
      <c r="D2" t="s">
        <v>13</v>
      </c>
      <c r="E2">
        <f>B2/0.05</f>
        <v>1.6644349766686939</v>
      </c>
      <c r="F2" t="s">
        <v>25</v>
      </c>
    </row>
    <row r="3" spans="1:6" x14ac:dyDescent="0.45">
      <c r="A3" s="2" t="s">
        <v>15</v>
      </c>
      <c r="B3">
        <v>1.436055569331429E-2</v>
      </c>
      <c r="C3">
        <v>0.71278888613371416</v>
      </c>
      <c r="D3" t="s">
        <v>16</v>
      </c>
      <c r="E3">
        <f t="shared" ref="E3:E7" si="0">B3/0.05</f>
        <v>0.28721111386628578</v>
      </c>
      <c r="F3" t="s">
        <v>26</v>
      </c>
    </row>
    <row r="4" spans="1:6" x14ac:dyDescent="0.45">
      <c r="A4" s="2" t="s">
        <v>17</v>
      </c>
      <c r="B4">
        <v>9.7582304526748986E-2</v>
      </c>
      <c r="C4">
        <v>-0.95164609053497973</v>
      </c>
      <c r="D4" t="s">
        <v>13</v>
      </c>
      <c r="E4">
        <f t="shared" si="0"/>
        <v>1.9516460905349797</v>
      </c>
      <c r="F4" t="s">
        <v>25</v>
      </c>
    </row>
    <row r="5" spans="1:6" x14ac:dyDescent="0.45">
      <c r="A5" s="2" t="s">
        <v>18</v>
      </c>
      <c r="B5">
        <v>5.3443394833618818E-4</v>
      </c>
      <c r="C5">
        <v>0.98931132103327624</v>
      </c>
      <c r="D5" t="s">
        <v>19</v>
      </c>
      <c r="E5">
        <f t="shared" si="0"/>
        <v>1.0688678966723764E-2</v>
      </c>
      <c r="F5" t="s">
        <v>26</v>
      </c>
    </row>
    <row r="6" spans="1:6" x14ac:dyDescent="0.45">
      <c r="A6" s="2" t="s">
        <v>20</v>
      </c>
      <c r="B6">
        <v>1.489498964165048E-2</v>
      </c>
      <c r="C6">
        <v>0.7021002071669904</v>
      </c>
      <c r="D6" t="s">
        <v>16</v>
      </c>
      <c r="E6">
        <f t="shared" si="0"/>
        <v>0.2978997928330096</v>
      </c>
      <c r="F6" t="s">
        <v>26</v>
      </c>
    </row>
    <row r="7" spans="1:6" x14ac:dyDescent="0.45">
      <c r="A7" s="2" t="s">
        <v>21</v>
      </c>
      <c r="B7">
        <v>8.2687314885098506E-2</v>
      </c>
      <c r="C7">
        <v>-0.65374629770197012</v>
      </c>
      <c r="D7" t="s">
        <v>13</v>
      </c>
      <c r="E7">
        <f t="shared" si="0"/>
        <v>1.6537462977019701</v>
      </c>
      <c r="F7" t="s">
        <v>25</v>
      </c>
    </row>
    <row r="8" spans="1:6" x14ac:dyDescent="0.45">
      <c r="A8" s="1" t="s">
        <v>22</v>
      </c>
      <c r="B8" s="1" t="s">
        <v>3</v>
      </c>
      <c r="C8" s="1" t="s">
        <v>4</v>
      </c>
      <c r="D8" s="1" t="s">
        <v>5</v>
      </c>
      <c r="E8" s="1" t="s">
        <v>23</v>
      </c>
      <c r="F8" s="1" t="s">
        <v>24</v>
      </c>
    </row>
    <row r="9" spans="1:6" x14ac:dyDescent="0.45">
      <c r="A9" s="2" t="s">
        <v>12</v>
      </c>
      <c r="B9">
        <v>8.3221748833434694E-2</v>
      </c>
      <c r="C9">
        <v>0.16778251166565311</v>
      </c>
      <c r="D9" t="s">
        <v>14</v>
      </c>
      <c r="E9">
        <f>B9/0.1</f>
        <v>0.83221748833434694</v>
      </c>
      <c r="F9" t="s">
        <v>26</v>
      </c>
    </row>
    <row r="10" spans="1:6" x14ac:dyDescent="0.45">
      <c r="A10" s="2" t="s">
        <v>15</v>
      </c>
      <c r="B10">
        <v>1.436055569331429E-2</v>
      </c>
      <c r="C10">
        <v>0.85639444306685708</v>
      </c>
      <c r="D10" t="s">
        <v>19</v>
      </c>
      <c r="E10">
        <f t="shared" ref="E10:E14" si="1">B10/0.1</f>
        <v>0.14360555693314289</v>
      </c>
      <c r="F10" t="s">
        <v>26</v>
      </c>
    </row>
    <row r="11" spans="1:6" x14ac:dyDescent="0.45">
      <c r="A11" s="2" t="s">
        <v>17</v>
      </c>
      <c r="B11">
        <v>9.7582304526748986E-2</v>
      </c>
      <c r="C11">
        <v>2.417695473251014E-2</v>
      </c>
      <c r="D11" t="s">
        <v>14</v>
      </c>
      <c r="E11">
        <f t="shared" si="1"/>
        <v>0.97582304526748986</v>
      </c>
      <c r="F11" t="s">
        <v>26</v>
      </c>
    </row>
    <row r="12" spans="1:6" x14ac:dyDescent="0.45">
      <c r="A12" s="2" t="s">
        <v>18</v>
      </c>
      <c r="B12">
        <v>5.3443394833618818E-4</v>
      </c>
      <c r="C12">
        <v>0.99465566051663812</v>
      </c>
      <c r="D12" t="s">
        <v>19</v>
      </c>
      <c r="E12">
        <f t="shared" si="1"/>
        <v>5.3443394833618818E-3</v>
      </c>
      <c r="F12" t="s">
        <v>26</v>
      </c>
    </row>
    <row r="13" spans="1:6" x14ac:dyDescent="0.45">
      <c r="A13" s="2" t="s">
        <v>20</v>
      </c>
      <c r="B13">
        <v>1.489498964165048E-2</v>
      </c>
      <c r="C13">
        <v>0.8510501035834952</v>
      </c>
      <c r="D13" t="s">
        <v>19</v>
      </c>
      <c r="E13">
        <f t="shared" si="1"/>
        <v>0.1489498964165048</v>
      </c>
      <c r="F13" t="s">
        <v>26</v>
      </c>
    </row>
    <row r="14" spans="1:6" x14ac:dyDescent="0.45">
      <c r="A14" s="2" t="s">
        <v>21</v>
      </c>
      <c r="B14">
        <v>8.2687314885098506E-2</v>
      </c>
      <c r="C14">
        <v>0.17312685114901491</v>
      </c>
      <c r="D14" t="s">
        <v>14</v>
      </c>
      <c r="E14">
        <f t="shared" si="1"/>
        <v>0.82687314885098506</v>
      </c>
      <c r="F14" t="s">
        <v>26</v>
      </c>
    </row>
    <row r="15" spans="1:6" x14ac:dyDescent="0.45">
      <c r="A15" s="1" t="s">
        <v>22</v>
      </c>
      <c r="B15" s="1" t="s">
        <v>6</v>
      </c>
      <c r="C15" s="1" t="s">
        <v>7</v>
      </c>
      <c r="D15" s="1" t="s">
        <v>8</v>
      </c>
      <c r="E15" s="1" t="s">
        <v>23</v>
      </c>
      <c r="F15" s="1" t="s">
        <v>24</v>
      </c>
    </row>
    <row r="16" spans="1:6" x14ac:dyDescent="0.45">
      <c r="A16" s="2" t="s">
        <v>12</v>
      </c>
      <c r="B16">
        <v>8.3221748833434694E-2</v>
      </c>
      <c r="C16">
        <v>0.44518834111043543</v>
      </c>
      <c r="D16" t="s">
        <v>14</v>
      </c>
      <c r="E16">
        <f>B16/0.15</f>
        <v>0.55481165888956463</v>
      </c>
      <c r="F16" t="s">
        <v>26</v>
      </c>
    </row>
    <row r="17" spans="1:6" x14ac:dyDescent="0.45">
      <c r="A17" s="2" t="s">
        <v>15</v>
      </c>
      <c r="B17">
        <v>1.436055569331429E-2</v>
      </c>
      <c r="C17">
        <v>0.90426296204457135</v>
      </c>
      <c r="D17" t="s">
        <v>19</v>
      </c>
      <c r="E17">
        <f t="shared" ref="E17:E21" si="2">B17/0.15</f>
        <v>9.5737037955428608E-2</v>
      </c>
      <c r="F17" t="s">
        <v>26</v>
      </c>
    </row>
    <row r="18" spans="1:6" x14ac:dyDescent="0.45">
      <c r="A18" s="2" t="s">
        <v>17</v>
      </c>
      <c r="B18">
        <v>9.7582304526748986E-2</v>
      </c>
      <c r="C18">
        <v>0.34945130315500672</v>
      </c>
      <c r="D18" t="s">
        <v>14</v>
      </c>
      <c r="E18">
        <f t="shared" si="2"/>
        <v>0.65054869684499328</v>
      </c>
      <c r="F18" t="s">
        <v>26</v>
      </c>
    </row>
    <row r="19" spans="1:6" x14ac:dyDescent="0.45">
      <c r="A19" s="2" t="s">
        <v>18</v>
      </c>
      <c r="B19">
        <v>5.3443394833618818E-4</v>
      </c>
      <c r="C19">
        <v>0.99643710701109212</v>
      </c>
      <c r="D19" t="s">
        <v>19</v>
      </c>
      <c r="E19">
        <f t="shared" si="2"/>
        <v>3.5628929889079215E-3</v>
      </c>
      <c r="F19" t="s">
        <v>26</v>
      </c>
    </row>
    <row r="20" spans="1:6" x14ac:dyDescent="0.45">
      <c r="A20" s="2" t="s">
        <v>20</v>
      </c>
      <c r="B20">
        <v>1.489498964165048E-2</v>
      </c>
      <c r="C20">
        <v>0.90070006905566347</v>
      </c>
      <c r="D20" t="s">
        <v>19</v>
      </c>
      <c r="E20">
        <f t="shared" si="2"/>
        <v>9.9299930944336534E-2</v>
      </c>
      <c r="F20" t="s">
        <v>26</v>
      </c>
    </row>
    <row r="21" spans="1:6" x14ac:dyDescent="0.45">
      <c r="A21" s="2" t="s">
        <v>21</v>
      </c>
      <c r="B21">
        <v>8.2687314885098506E-2</v>
      </c>
      <c r="C21">
        <v>0.44875123409934331</v>
      </c>
      <c r="D21" t="s">
        <v>14</v>
      </c>
      <c r="E21">
        <f t="shared" si="2"/>
        <v>0.55124876590065675</v>
      </c>
      <c r="F21" t="s">
        <v>26</v>
      </c>
    </row>
    <row r="22" spans="1:6" x14ac:dyDescent="0.45">
      <c r="A22" s="1" t="s">
        <v>22</v>
      </c>
      <c r="B22" s="1" t="s">
        <v>9</v>
      </c>
      <c r="C22" s="1" t="s">
        <v>10</v>
      </c>
      <c r="D22" s="1" t="s">
        <v>11</v>
      </c>
      <c r="E22" s="1" t="s">
        <v>23</v>
      </c>
      <c r="F22" s="1" t="s">
        <v>24</v>
      </c>
    </row>
    <row r="23" spans="1:6" x14ac:dyDescent="0.45">
      <c r="A23" s="2" t="s">
        <v>12</v>
      </c>
      <c r="B23">
        <v>8.3221748833434694E-2</v>
      </c>
      <c r="C23">
        <v>0.58389125583282653</v>
      </c>
      <c r="D23" t="s">
        <v>16</v>
      </c>
      <c r="E23">
        <f>B23/0.2</f>
        <v>0.41610874416717347</v>
      </c>
      <c r="F23" t="s">
        <v>26</v>
      </c>
    </row>
    <row r="24" spans="1:6" x14ac:dyDescent="0.45">
      <c r="A24" s="2" t="s">
        <v>15</v>
      </c>
      <c r="B24">
        <v>1.436055569331429E-2</v>
      </c>
      <c r="C24">
        <v>0.92819722153342854</v>
      </c>
      <c r="D24" t="s">
        <v>19</v>
      </c>
      <c r="E24">
        <f t="shared" ref="E24:E28" si="3">B24/0.2</f>
        <v>7.1802778466571446E-2</v>
      </c>
      <c r="F24" t="s">
        <v>26</v>
      </c>
    </row>
    <row r="25" spans="1:6" x14ac:dyDescent="0.45">
      <c r="A25" s="2" t="s">
        <v>17</v>
      </c>
      <c r="B25">
        <v>9.7582304526748986E-2</v>
      </c>
      <c r="C25">
        <v>0.51208847736625507</v>
      </c>
      <c r="D25" t="s">
        <v>16</v>
      </c>
      <c r="E25">
        <f t="shared" si="3"/>
        <v>0.48791152263374493</v>
      </c>
      <c r="F25" t="s">
        <v>26</v>
      </c>
    </row>
    <row r="26" spans="1:6" x14ac:dyDescent="0.45">
      <c r="A26" s="2" t="s">
        <v>18</v>
      </c>
      <c r="B26">
        <v>5.3443394833618818E-4</v>
      </c>
      <c r="C26">
        <v>0.99732783025831906</v>
      </c>
      <c r="D26" t="s">
        <v>19</v>
      </c>
      <c r="E26">
        <f t="shared" si="3"/>
        <v>2.6721697416809409E-3</v>
      </c>
      <c r="F26" t="s">
        <v>26</v>
      </c>
    </row>
    <row r="27" spans="1:6" x14ac:dyDescent="0.45">
      <c r="A27" s="2" t="s">
        <v>20</v>
      </c>
      <c r="B27">
        <v>1.489498964165048E-2</v>
      </c>
      <c r="C27">
        <v>0.9255250517917476</v>
      </c>
      <c r="D27" t="s">
        <v>19</v>
      </c>
      <c r="E27">
        <f t="shared" si="3"/>
        <v>7.4474948208252401E-2</v>
      </c>
      <c r="F27" t="s">
        <v>26</v>
      </c>
    </row>
    <row r="28" spans="1:6" x14ac:dyDescent="0.45">
      <c r="A28" s="2" t="s">
        <v>21</v>
      </c>
      <c r="B28">
        <v>8.2687314885098506E-2</v>
      </c>
      <c r="C28">
        <v>0.58656342557450747</v>
      </c>
      <c r="D28" t="s">
        <v>16</v>
      </c>
      <c r="E28">
        <f t="shared" si="3"/>
        <v>0.41343657442549253</v>
      </c>
      <c r="F2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Accuracy</vt:lpstr>
      <vt:lpstr>Selection Rate</vt:lpstr>
      <vt:lpstr>TPR</vt:lpstr>
      <vt:lpstr>TNR</vt:lpstr>
      <vt:lpstr>FPR</vt:lpstr>
      <vt:lpstr>FNR</vt:lpstr>
      <vt:lpstr>PPV</vt:lpstr>
      <vt:lpstr>NPV</vt:lpstr>
      <vt:lpstr>F1</vt:lpstr>
      <vt:lpstr>AUC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Olalekan Joseph Akintande</dc:creator>
  <cp:lastModifiedBy>Olalekan Joseph Akintande</cp:lastModifiedBy>
  <dcterms:created xsi:type="dcterms:W3CDTF">2025-12-19T21:08:45Z</dcterms:created>
  <dcterms:modified xsi:type="dcterms:W3CDTF">2025-12-20T23:07:48Z</dcterms:modified>
</cp:coreProperties>
</file>